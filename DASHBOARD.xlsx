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hidePivotFieldList="1"/>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8520" activeTab="1"/>
  </bookViews>
  <sheets>
    <sheet name="Sheet4" sheetId="6" r:id="rId1"/>
    <sheet name="DASHBOARD" sheetId="7" r:id="rId2"/>
    <sheet name="employee_salary_dataset" sheetId="1" r:id="rId3"/>
  </sheets>
  <definedNames>
    <definedName name="Slicer_City">#N/A</definedName>
    <definedName name="Slicer_Department">#N/A</definedName>
    <definedName name="Slicer_Experience_Years">#N/A</definedName>
    <definedName name="Slicer_Gender">#N/A</definedName>
  </definedNames>
  <calcPr calcId="162913"/>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9" i="1" l="1"/>
  <c r="L8" i="1"/>
  <c r="L7" i="1"/>
  <c r="L6" i="1"/>
  <c r="L5" i="1"/>
</calcChain>
</file>

<file path=xl/sharedStrings.xml><?xml version="1.0" encoding="utf-8"?>
<sst xmlns="http://schemas.openxmlformats.org/spreadsheetml/2006/main" count="310" uniqueCount="87">
  <si>
    <t>EmployeeID</t>
  </si>
  <si>
    <t>Name</t>
  </si>
  <si>
    <t>Department</t>
  </si>
  <si>
    <t>Experience_Years</t>
  </si>
  <si>
    <t>Education_Level</t>
  </si>
  <si>
    <t>Age</t>
  </si>
  <si>
    <t>Gender</t>
  </si>
  <si>
    <t>City</t>
  </si>
  <si>
    <t>Monthly_Salary</t>
  </si>
  <si>
    <t>Employee_1</t>
  </si>
  <si>
    <t>Marketing</t>
  </si>
  <si>
    <t>Master</t>
  </si>
  <si>
    <t>Female</t>
  </si>
  <si>
    <t>Delhi</t>
  </si>
  <si>
    <t>Employee_2</t>
  </si>
  <si>
    <t>Operations</t>
  </si>
  <si>
    <t>Bachelor</t>
  </si>
  <si>
    <t>Bangalore</t>
  </si>
  <si>
    <t>Employee_3</t>
  </si>
  <si>
    <t>IT</t>
  </si>
  <si>
    <t>High School</t>
  </si>
  <si>
    <t>Hyderabad</t>
  </si>
  <si>
    <t>Employee_4</t>
  </si>
  <si>
    <t>PhD</t>
  </si>
  <si>
    <t>Male</t>
  </si>
  <si>
    <t>Employee_5</t>
  </si>
  <si>
    <t>Employee_6</t>
  </si>
  <si>
    <t>Finance</t>
  </si>
  <si>
    <t>Mumbai</t>
  </si>
  <si>
    <t>Employee_7</t>
  </si>
  <si>
    <t>Employee_8</t>
  </si>
  <si>
    <t>Employee_9</t>
  </si>
  <si>
    <t>Employee_10</t>
  </si>
  <si>
    <t>Employee_11</t>
  </si>
  <si>
    <t>Employee_12</t>
  </si>
  <si>
    <t>Employee_13</t>
  </si>
  <si>
    <t>Employee_14</t>
  </si>
  <si>
    <t>Employee_15</t>
  </si>
  <si>
    <t>Employee_16</t>
  </si>
  <si>
    <t>Employee_17</t>
  </si>
  <si>
    <t>Employee_18</t>
  </si>
  <si>
    <t>Chennai</t>
  </si>
  <si>
    <t>Employee_19</t>
  </si>
  <si>
    <t>HR</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</si>
  <si>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</si>
  <si>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</si>
  <si>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</si>
  <si>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</si>
  <si>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</si>
  <si>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</si>
  <si>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</si>
  <si>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</si>
  <si>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</si>
  <si>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</si>
  <si>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</si>
  <si>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</si>
  <si>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</si>
  <si>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</si>
  <si>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</si>
  <si>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</si>
  <si>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</si>
  <si>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</si>
  <si>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</si>
  <si>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</si>
  <si>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</si>
  <si>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</si>
  <si>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</si>
  <si>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</si>
  <si>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</si>
  <si>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</si>
  <si>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</si>
  <si>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</si>
  <si>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</si>
  <si>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</si>
  <si>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</si>
  <si>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Sum of Experience_Years</t>
  </si>
  <si>
    <t>Total</t>
  </si>
  <si>
    <t>Grand Total</t>
  </si>
  <si>
    <t>Sum of Monthly_Salary</t>
  </si>
  <si>
    <t>Female Total</t>
  </si>
  <si>
    <t>Male Total</t>
  </si>
  <si>
    <t>Column1</t>
  </si>
  <si>
    <t>Column2</t>
  </si>
  <si>
    <t>Total Employees</t>
  </si>
  <si>
    <t>Net salary</t>
  </si>
  <si>
    <t>Average</t>
  </si>
  <si>
    <t>Count of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</si>
</sst>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entury Gothic"/>
      <family val="2"/>
      <scheme val="minor"/>
    </font>
  </fonts>
  <fills count="2">
    <fill>
      <patternFill patternType="none"/>
    </fill>
    <fill>
      <patternFill patternType="gray125"/>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indexed="65"/>
      </left>
      <right/>
      <top style="thin">
        <color rgb="FF999999"/>
      </top>
      <bottom style="thin">
        <color rgb="FF999999"/>
      </bottom>
      <diagonal/>
    </border>
  </borders>
  <cellStyleXfs count="1">
    <xf numFmtId="0" fontId="0" fillId="0" borderId="0">
      <alignment vertical="center"/>
    </xf>
  </cellStyleXfs>
  <cellXfs count="2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1" xfId="0" pivotButton="1" applyBorder="1">
      <alignment vertical="center"/>
    </xf>
    <xf numFmtId="0" fontId="0" fillId="0" borderId="3" xfId="0" applyBorder="1">
      <alignment vertical="center"/>
    </xf>
    <xf numFmtId="0" fontId="0" fillId="0" borderId="3" xfId="0" applyNumberFormat="1" applyBorder="1">
      <alignment vertical="center"/>
    </xf>
    <xf numFmtId="0" fontId="0" fillId="0" borderId="4" xfId="0" applyBorder="1">
      <alignment vertical="center"/>
    </xf>
    <xf numFmtId="0" fontId="0" fillId="0" borderId="5" xfId="0" applyNumberFormat="1" applyBorder="1">
      <alignment vertical="center"/>
    </xf>
    <xf numFmtId="0" fontId="0" fillId="0" borderId="6" xfId="0" applyBorder="1">
      <alignment vertical="center"/>
    </xf>
    <xf numFmtId="0" fontId="0" fillId="0" borderId="7" xfId="0" applyNumberFormat="1" applyBorder="1">
      <alignment vertical="center"/>
    </xf>
    <xf numFmtId="0" fontId="0" fillId="0" borderId="8" xfId="0" applyBorder="1">
      <alignment vertical="center"/>
    </xf>
    <xf numFmtId="0" fontId="0" fillId="0" borderId="9" xfId="0" applyBorder="1">
      <alignment vertical="center"/>
    </xf>
    <xf numFmtId="0" fontId="0" fillId="0" borderId="1" xfId="0" applyNumberFormat="1" applyBorder="1">
      <alignment vertical="center"/>
    </xf>
    <xf numFmtId="0" fontId="0" fillId="0" borderId="9" xfId="0" applyNumberFormat="1" applyBorder="1">
      <alignment vertical="center"/>
    </xf>
    <xf numFmtId="0" fontId="0" fillId="0" borderId="6" xfId="0" applyNumberFormat="1" applyBorder="1">
      <alignment vertical="center"/>
    </xf>
    <xf numFmtId="0" fontId="0" fillId="0" borderId="10" xfId="0" applyNumberFormat="1" applyBorder="1">
      <alignment vertical="center"/>
    </xf>
    <xf numFmtId="0" fontId="0" fillId="0" borderId="4" xfId="0" applyNumberFormat="1" applyBorder="1">
      <alignment vertical="center"/>
    </xf>
    <xf numFmtId="0" fontId="0" fillId="0" borderId="0" xfId="0" applyNumberFormat="1">
      <alignment vertical="center"/>
    </xf>
    <xf numFmtId="0" fontId="0" fillId="0" borderId="11" xfId="0" applyBorder="1">
      <alignment vertical="center"/>
    </xf>
    <xf numFmtId="0" fontId="0" fillId="0" borderId="12" xfId="0" applyBorder="1">
      <alignment vertical="center"/>
    </xf>
  </cellXfs>
  <cellStyles count="1">
    <cellStyle name="Normal" xfId="0" builtinId="0"/>
  </cellStyles>
  <dxfs count="17">
    <dxf>
      <fill>
        <patternFill patternType="solid">
          <fgColor theme="4" tint="0.79998168889431442"/>
          <bgColor theme="4" tint="0.79998168889431442"/>
        </patternFill>
      </fill>
      <border>
        <bottom style="thin">
          <color theme="4" tint="0.39997558519241921"/>
        </bottom>
      </border>
    </dxf>
    <dxf>
      <font>
        <b/>
      </font>
      <fill>
        <patternFill patternType="solid">
          <fgColor theme="4" tint="0.79998168889431442"/>
          <bgColor theme="4" tint="0.79998168889431442"/>
        </patternFill>
      </fill>
      <border>
        <bottom style="thin">
          <color theme="4" tint="0.39997558519241921"/>
        </bottom>
      </border>
    </dxf>
    <dxf>
      <font>
        <color theme="1"/>
      </font>
    </dxf>
    <dxf>
      <font>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21"/>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[DASHBOARD.xlsx]Sheet4!PivotTable10</c:name>
    <c:fmtId val="0"/>
  </c:pivotSource>
  <c:chart>
    <c:autoTitleDeleted val="1"/>
    <c:pivotFmts>
      <c:pivotFmt>
        <c:idx val="0"/>
        <c:spPr>
          <a:solidFill>
            <a:srgbClr val="B01513"/>
          </a:solidFill>
          <a:ln w="25400">
            <a:noFill/>
          </a:ln>
        </c:spPr>
        <c:marker>
          <c:symbol val="none"/>
        </c:marker>
        <c:dLbl>
          <c:idx val="0"/>
          <c:layout/>
          <c:spPr>
            <a:noFill/>
            <a:ln w="25400">
              <a:noFill/>
            </a:ln>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marker>
          <c:symbol val="none"/>
        </c:marker>
      </c:pivotFmt>
    </c:pivotFmts>
    <c:plotArea>
      <c:layout/>
      <c:barChart>
        <c:barDir val="col"/>
        <c:grouping val="clustered"/>
        <c:varyColors val="0"/>
        <c:ser>
          <c:idx val="0"/>
          <c:order val="0"/>
          <c:tx>
            <c:strRef>
              <c:f>Sheet4!$B$3:$B$4</c:f>
              <c:strCache>
                <c:ptCount val="1"/>
                <c:pt idx="0">
                  <c:v>Total</c:v>
                </c:pt>
              </c:strCache>
            </c:strRef>
          </c:tx>
          <c:invertIfNegative val="0"/>
          <c:cat>
            <c:strRef>
              <c:f>Sheet4!$A$5:$A$10</c:f>
              <c:strCache>
                <c:ptCount val="5"/>
                <c:pt idx="0">
                  <c:v>Finance</c:v>
                </c:pt>
                <c:pt idx="1">
                  <c:v>HR</c:v>
                </c:pt>
                <c:pt idx="2">
                  <c:v>IT</c:v>
                </c:pt>
                <c:pt idx="3">
                  <c:v>Marketing</c:v>
                </c:pt>
                <c:pt idx="4">
                  <c:v>Operations</c:v>
                </c:pt>
              </c:strCache>
            </c:strRef>
          </c:cat>
          <c:val>
            <c:numRef>
              <c:f>Sheet4!$B$5:$B$10</c:f>
              <c:numCache>
                <c:formatCode>General</c:formatCode>
                <c:ptCount val="5"/>
                <c:pt idx="0">
                  <c:v>78</c:v>
                </c:pt>
                <c:pt idx="1">
                  <c:v>55</c:v>
                </c:pt>
                <c:pt idx="2">
                  <c:v>108</c:v>
                </c:pt>
                <c:pt idx="3">
                  <c:v>167</c:v>
                </c:pt>
                <c:pt idx="4">
                  <c:v>87</c:v>
                </c:pt>
              </c:numCache>
            </c:numRef>
          </c:val>
          <c:extLst>
            <c:ext xmlns:c16="http://schemas.microsoft.com/office/drawing/2014/chart" uri="{C3380CC4-5D6E-409C-BE32-E72D297353CC}">
              <c16:uniqueId val="{00000000-3AAF-4A1A-A9DD-39E38C06186B}"/>
            </c:ext>
          </c:extLst>
        </c:ser>
        <c:dLbls>
          <c:showLegendKey val="0"/>
          <c:showVal val="0"/>
          <c:showCatName val="0"/>
          <c:showSerName val="0"/>
          <c:showPercent val="0"/>
          <c:showBubbleSize val="0"/>
        </c:dLbls>
        <c:gapWidth val="219"/>
        <c:overlap val="-27"/>
        <c:axId val="2127708384"/>
        <c:axId val="1"/>
      </c:barChart>
      <c:catAx>
        <c:axId val="212770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2127708384"/>
        <c:crosses val="autoZero"/>
        <c:crossBetween val="between"/>
      </c:valAx>
      <c:spPr>
        <a:noFill/>
        <a:ln w="25400">
          <a:noFill/>
        </a:ln>
      </c:spPr>
    </c:plotArea>
    <c:legend>
      <c:legendPos val="b"/>
      <c:layout/>
      <c:overlay val="0"/>
      <c:spPr>
        <a:noFill/>
        <a:ln w="25400">
          <a:noFill/>
        </a:ln>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[DASHBOARD.xlsx]Sheet4!PivotTable13</c:name>
    <c:fmtId val="0"/>
  </c:pivotSource>
  <c:chart>
    <c:autoTitleDeleted val="1"/>
    <c:pivotFmts>
      <c:pivotFmt>
        <c:idx val="0"/>
        <c:spPr>
          <a:solidFill>
            <a:srgbClr val="B01513"/>
          </a:solidFill>
          <a:ln w="25400">
            <a:noFill/>
          </a:ln>
        </c:spPr>
        <c:marker>
          <c:symbol val="none"/>
        </c:marker>
      </c:pivotFmt>
    </c:pivotFmts>
    <c:plotArea>
      <c:layout/>
      <c:areaChart>
        <c:grouping val="standard"/>
        <c:varyColors val="0"/>
        <c:ser>
          <c:idx val="0"/>
          <c:order val="0"/>
          <c:tx>
            <c:strRef>
              <c:f>Sheet4!$G$3:$G$4</c:f>
              <c:strCache>
                <c:ptCount val="1"/>
                <c:pt idx="0">
                  <c:v>Total</c:v>
                </c:pt>
              </c:strCache>
            </c:strRef>
          </c:tx>
          <c:spPr>
            <a:solidFill>
              <a:srgbClr val="B01513"/>
            </a:solidFill>
            <a:ln w="25400">
              <a:noFill/>
            </a:ln>
          </c:spPr>
          <c:cat>
            <c:multiLvlStrRef>
              <c:f>Sheet4!$E$5:$F$17</c:f>
              <c:multiLvlStrCache>
                <c:ptCount val="10"/>
                <c:lvl>
                  <c:pt idx="0">
                    <c:v>Finance</c:v>
                  </c:pt>
                  <c:pt idx="1">
                    <c:v>HR</c:v>
                  </c:pt>
                  <c:pt idx="2">
                    <c:v>IT</c:v>
                  </c:pt>
                  <c:pt idx="3">
                    <c:v>Marketing</c:v>
                  </c:pt>
                  <c:pt idx="4">
                    <c:v>Operations</c:v>
                  </c:pt>
                  <c:pt idx="5">
                    <c:v>Finance</c:v>
                  </c:pt>
                  <c:pt idx="6">
                    <c:v>HR</c:v>
                  </c:pt>
                  <c:pt idx="7">
                    <c:v>IT</c:v>
                  </c:pt>
                  <c:pt idx="8">
                    <c:v>Marketing</c:v>
                  </c:pt>
                  <c:pt idx="9">
                    <c:v>Operations</c:v>
                  </c:pt>
                </c:lvl>
                <c:lvl>
                  <c:pt idx="0">
                    <c:v>Female</c:v>
                  </c:pt>
                  <c:pt idx="5">
                    <c:v>Male</c:v>
                  </c:pt>
                </c:lvl>
              </c:multiLvlStrCache>
            </c:multiLvlStrRef>
          </c:cat>
          <c:val>
            <c:numRef>
              <c:f>Sheet4!$G$5:$G$17</c:f>
              <c:numCache>
                <c:formatCode>General</c:formatCode>
                <c:ptCount val="10"/>
                <c:pt idx="0">
                  <c:v>448528</c:v>
                </c:pt>
                <c:pt idx="1">
                  <c:v>355279</c:v>
                </c:pt>
                <c:pt idx="2">
                  <c:v>409177</c:v>
                </c:pt>
                <c:pt idx="3">
                  <c:v>621702</c:v>
                </c:pt>
                <c:pt idx="4">
                  <c:v>522581</c:v>
                </c:pt>
                <c:pt idx="5">
                  <c:v>224091</c:v>
                </c:pt>
                <c:pt idx="6">
                  <c:v>225337</c:v>
                </c:pt>
                <c:pt idx="7">
                  <c:v>356028</c:v>
                </c:pt>
                <c:pt idx="8">
                  <c:v>631899</c:v>
                </c:pt>
                <c:pt idx="9">
                  <c:v>319818</c:v>
                </c:pt>
              </c:numCache>
            </c:numRef>
          </c:val>
          <c:extLst>
            <c:ext xmlns:c16="http://schemas.microsoft.com/office/drawing/2014/chart" uri="{C3380CC4-5D6E-409C-BE32-E72D297353CC}">
              <c16:uniqueId val="{00000000-8213-41FC-8AFA-E0AAA1BC7AAC}"/>
            </c:ext>
          </c:extLst>
        </c:ser>
        <c:dLbls>
          <c:showLegendKey val="0"/>
          <c:showVal val="0"/>
          <c:showCatName val="0"/>
          <c:showSerName val="0"/>
          <c:showPercent val="0"/>
          <c:showBubbleSize val="0"/>
        </c:dLbls>
        <c:axId val="2127705472"/>
        <c:axId val="1"/>
      </c:areaChart>
      <c:catAx>
        <c:axId val="212770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05472"/>
        <c:crosses val="autoZero"/>
        <c:crossBetween val="between"/>
      </c:valAx>
      <c:spPr>
        <a:noFill/>
        <a:ln w="25400">
          <a:noFill/>
        </a:ln>
      </c:spPr>
    </c:plotArea>
    <c:legend>
      <c:legendPos val="b"/>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[DASHBOARD.xlsx]Sheet4!PivotTable14</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Sheet4!$J$3:$J$4</c:f>
              <c:strCache>
                <c:ptCount val="1"/>
                <c:pt idx="0">
                  <c:v>Total</c:v>
                </c:pt>
              </c:strCache>
            </c:strRef>
          </c:tx>
          <c:spPr>
            <a:ln w="28575" cap="rnd">
              <a:solidFill>
                <a:schemeClr val="accent1"/>
              </a:solidFill>
              <a:round/>
            </a:ln>
            <a:effectLst/>
          </c:spPr>
          <c:marker>
            <c:symbol val="none"/>
          </c:marker>
          <c:cat>
            <c:strRef>
              <c:f>Sheet4!$I$5:$I$24</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Sheet4!$J$5:$J$24</c:f>
              <c:numCache>
                <c:formatCode>General</c:formatCode>
                <c:ptCount val="19"/>
                <c:pt idx="0">
                  <c:v>186044</c:v>
                </c:pt>
                <c:pt idx="1">
                  <c:v>128079</c:v>
                </c:pt>
                <c:pt idx="2">
                  <c:v>212854</c:v>
                </c:pt>
                <c:pt idx="3">
                  <c:v>321955</c:v>
                </c:pt>
                <c:pt idx="4">
                  <c:v>28420</c:v>
                </c:pt>
                <c:pt idx="5">
                  <c:v>28436</c:v>
                </c:pt>
                <c:pt idx="6">
                  <c:v>176762</c:v>
                </c:pt>
                <c:pt idx="7">
                  <c:v>654211</c:v>
                </c:pt>
                <c:pt idx="8">
                  <c:v>277069</c:v>
                </c:pt>
                <c:pt idx="9">
                  <c:v>295419</c:v>
                </c:pt>
                <c:pt idx="10">
                  <c:v>61212</c:v>
                </c:pt>
                <c:pt idx="11">
                  <c:v>182286</c:v>
                </c:pt>
                <c:pt idx="12">
                  <c:v>278582</c:v>
                </c:pt>
                <c:pt idx="13">
                  <c:v>180170</c:v>
                </c:pt>
                <c:pt idx="14">
                  <c:v>513986</c:v>
                </c:pt>
                <c:pt idx="15">
                  <c:v>241067</c:v>
                </c:pt>
                <c:pt idx="16">
                  <c:v>117032</c:v>
                </c:pt>
                <c:pt idx="17">
                  <c:v>162331</c:v>
                </c:pt>
                <c:pt idx="18">
                  <c:v>68525</c:v>
                </c:pt>
              </c:numCache>
            </c:numRef>
          </c:val>
          <c:smooth val="0"/>
          <c:extLst>
            <c:ext xmlns:c16="http://schemas.microsoft.com/office/drawing/2014/chart" uri="{C3380CC4-5D6E-409C-BE32-E72D297353CC}">
              <c16:uniqueId val="{00000000-E3F9-4A23-A1FB-EE2E2BB9E6CF}"/>
            </c:ext>
          </c:extLst>
        </c:ser>
        <c:dLbls>
          <c:showLegendKey val="0"/>
          <c:showVal val="0"/>
          <c:showCatName val="0"/>
          <c:showSerName val="0"/>
          <c:showPercent val="0"/>
          <c:showBubbleSize val="0"/>
        </c:dLbls>
        <c:smooth val="0"/>
        <c:axId val="2127707968"/>
        <c:axId val="1"/>
      </c:lineChart>
      <c:catAx>
        <c:axId val="21277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07968"/>
        <c:crosses val="autoZero"/>
        <c:crossBetween val="between"/>
      </c:valAx>
      <c:spPr>
        <a:noFill/>
        <a:ln w="25400">
          <a:noFill/>
        </a:ln>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[DASHBOARD.xlsx]Sheet4!PivotTable15</c:name>
    <c:fmtId val="0"/>
  </c:pivotSource>
  <c:chart>
    <c:autoTitleDeleted val="1"/>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marker>
          <c:symbol val="none"/>
        </c:marke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5"/>
          </a:solidFill>
          <a:ln w="19050">
            <a:solidFill>
              <a:schemeClr val="lt1"/>
            </a:solidFill>
          </a:ln>
          <a:effectLst/>
        </c:spPr>
      </c:pivotFmt>
    </c:pivotFmts>
    <c:plotArea>
      <c:layout/>
      <c:pieChart>
        <c:varyColors val="1"/>
        <c:ser>
          <c:idx val="0"/>
          <c:order val="0"/>
          <c:tx>
            <c:strRef>
              <c:f>Sheet4!$M$3:$M$4</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D38D-494F-BEA8-F307FE0698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D38D-494F-BEA8-F307FE0698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38D-494F-BEA8-F307FE0698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D38D-494F-BEA8-F307FE0698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D38D-494F-BEA8-F307FE069884}"/>
              </c:ext>
            </c:extLst>
          </c:dPt>
          <c:cat>
            <c:strRef>
              <c:f>Sheet4!$L$5:$L$10</c:f>
              <c:strCache>
                <c:ptCount val="5"/>
                <c:pt idx="0">
                  <c:v>Bangalore</c:v>
                </c:pt>
                <c:pt idx="1">
                  <c:v>Chennai</c:v>
                </c:pt>
                <c:pt idx="2">
                  <c:v>Delhi</c:v>
                </c:pt>
                <c:pt idx="3">
                  <c:v>Hyderabad</c:v>
                </c:pt>
                <c:pt idx="4">
                  <c:v>Mumbai</c:v>
                </c:pt>
              </c:strCache>
            </c:strRef>
          </c:cat>
          <c:val>
            <c:numRef>
              <c:f>Sheet4!$M$5:$M$10</c:f>
              <c:numCache>
                <c:formatCode>General</c:formatCode>
                <c:ptCount val="5"/>
                <c:pt idx="0">
                  <c:v>5</c:v>
                </c:pt>
                <c:pt idx="1">
                  <c:v>1</c:v>
                </c:pt>
                <c:pt idx="2">
                  <c:v>10</c:v>
                </c:pt>
                <c:pt idx="3">
                  <c:v>9</c:v>
                </c:pt>
                <c:pt idx="4">
                  <c:v>2</c:v>
                </c:pt>
              </c:numCache>
            </c:numRef>
          </c:val>
          <c:extLst>
            <c:ext xmlns:c16="http://schemas.microsoft.com/office/drawing/2014/chart" uri="{C3380CC4-5D6E-409C-BE32-E72D297353CC}">
              <c16:uniqueId val="{00000006-D38D-494F-BEA8-F307FE069884}"/>
            </c:ext>
          </c:extLst>
        </c:ser>
        <c:ser>
          <c:idx val="1"/>
          <c:order val="1"/>
          <c:tx>
            <c:strRef>
              <c:f>Sheet4!$N$3:$N$4</c:f>
              <c:strCache>
                <c:ptCount val="1"/>
                <c:pt idx="0">
                  <c:v>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Sheet4!$L$5:$L$10</c:f>
              <c:strCache>
                <c:ptCount val="5"/>
                <c:pt idx="0">
                  <c:v>Bangalore</c:v>
                </c:pt>
                <c:pt idx="1">
                  <c:v>Chennai</c:v>
                </c:pt>
                <c:pt idx="2">
                  <c:v>Delhi</c:v>
                </c:pt>
                <c:pt idx="3">
                  <c:v>Hyderabad</c:v>
                </c:pt>
                <c:pt idx="4">
                  <c:v>Mumbai</c:v>
                </c:pt>
              </c:strCache>
            </c:strRef>
          </c:cat>
          <c:val>
            <c:numRef>
              <c:f>Sheet4!$N$5:$N$10</c:f>
              <c:numCache>
                <c:formatCode>General</c:formatCode>
                <c:ptCount val="5"/>
                <c:pt idx="0">
                  <c:v>6</c:v>
                </c:pt>
                <c:pt idx="1">
                  <c:v>4</c:v>
                </c:pt>
                <c:pt idx="2">
                  <c:v>5</c:v>
                </c:pt>
                <c:pt idx="3">
                  <c:v>3</c:v>
                </c:pt>
                <c:pt idx="4">
                  <c:v>5</c:v>
                </c:pt>
              </c:numCache>
            </c:numRef>
          </c:val>
          <c:extLst>
            <c:ext xmlns:c16="http://schemas.microsoft.com/office/drawing/2014/chart" uri="{C3380CC4-5D6E-409C-BE32-E72D297353CC}">
              <c16:uniqueId val="{00000015-8E31-46FB-9FB9-496765C3196A}"/>
            </c:ext>
          </c:extLst>
        </c:ser>
        <c:dLbls>
          <c:showLegendKey val="0"/>
          <c:showVal val="0"/>
          <c:showCatName val="0"/>
          <c:showSerName val="0"/>
          <c:showPercent val="0"/>
          <c:showBubbleSize val="0"/>
          <c:showLeaderLines val="1"/>
        </c:dLbls>
        <c:firstSliceAng val="0"/>
      </c:pieChart>
      <c:spPr>
        <a:noFill/>
        <a:ln w="25400">
          <a:noFill/>
        </a:ln>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[DASHBOARD.xlsx]Sheet4!PivotTable10</c:name>
    <c:fmtId val="2"/>
  </c:pivotSource>
  <c:chart>
    <c:autoTitleDeleted val="1"/>
    <c:pivotFmts>
      <c:pivotFmt>
        <c:idx val="0"/>
        <c:spPr>
          <a:solidFill>
            <a:srgbClr val="B01513"/>
          </a:solidFill>
          <a:ln w="25400">
            <a:noFill/>
          </a:ln>
        </c:spPr>
        <c:marker>
          <c:symbol val="none"/>
        </c:marker>
        <c:dLbl>
          <c:idx val="0"/>
          <c:spPr>
            <a:noFill/>
            <a:ln w="25400">
              <a:noFill/>
            </a:ln>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01513"/>
          </a:solidFill>
          <a:ln w="25400">
            <a:noFill/>
          </a:ln>
        </c:spPr>
        <c:marker>
          <c:symbol val="none"/>
        </c:marker>
        <c:dLbl>
          <c:idx val="0"/>
          <c:spPr>
            <a:noFill/>
            <a:ln w="25400">
              <a:noFill/>
            </a:ln>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01513"/>
          </a:solidFill>
          <a:ln w="25400">
            <a:noFill/>
          </a:ln>
        </c:spPr>
        <c:marker>
          <c:symbol val="none"/>
        </c:marker>
        <c:dLbl>
          <c:idx val="0"/>
          <c:layout/>
          <c:spPr>
            <a:noFill/>
            <a:ln w="25400">
              <a:noFill/>
            </a:ln>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Sheet4!$B$3:$B$4</c:f>
              <c:strCache>
                <c:ptCount val="1"/>
                <c:pt idx="0">
                  <c:v>Total</c:v>
                </c:pt>
              </c:strCache>
            </c:strRef>
          </c:tx>
          <c:spPr>
            <a:solidFill>
              <a:srgbClr val="B01513"/>
            </a:solidFill>
            <a:ln w="25400">
              <a:noFill/>
            </a:ln>
          </c:spPr>
          <c:invertIfNegative val="0"/>
          <c:dLbls>
            <c:spPr>
              <a:noFill/>
              <a:ln w="25400">
                <a:noFill/>
              </a:ln>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Sheet4!$A$5:$A$10</c:f>
              <c:strCache>
                <c:ptCount val="5"/>
                <c:pt idx="0">
                  <c:v>Finance</c:v>
                </c:pt>
                <c:pt idx="1">
                  <c:v>HR</c:v>
                </c:pt>
                <c:pt idx="2">
                  <c:v>IT</c:v>
                </c:pt>
                <c:pt idx="3">
                  <c:v>Marketing</c:v>
                </c:pt>
                <c:pt idx="4">
                  <c:v>Operations</c:v>
                </c:pt>
              </c:strCache>
            </c:strRef>
          </c:cat>
          <c:val>
            <c:numRef>
              <c:f>Sheet4!$B$5:$B$10</c:f>
              <c:numCache>
                <c:formatCode>General</c:formatCode>
                <c:ptCount val="5"/>
                <c:pt idx="0">
                  <c:v>78</c:v>
                </c:pt>
                <c:pt idx="1">
                  <c:v>55</c:v>
                </c:pt>
                <c:pt idx="2">
                  <c:v>108</c:v>
                </c:pt>
                <c:pt idx="3">
                  <c:v>167</c:v>
                </c:pt>
                <c:pt idx="4">
                  <c:v>87</c:v>
                </c:pt>
              </c:numCache>
            </c:numRef>
          </c:val>
          <c:extLst>
            <c:ext xmlns:c16="http://schemas.microsoft.com/office/drawing/2014/chart" uri="{C3380CC4-5D6E-409C-BE32-E72D297353CC}">
              <c16:uniqueId val="{00000000-AE57-43AF-9D67-80BA824F0ED8}"/>
            </c:ext>
          </c:extLst>
        </c:ser>
        <c:dLbls>
          <c:showLegendKey val="0"/>
          <c:showVal val="0"/>
          <c:showCatName val="0"/>
          <c:showSerName val="0"/>
          <c:showPercent val="0"/>
          <c:showBubbleSize val="0"/>
        </c:dLbls>
        <c:gapWidth val="219"/>
        <c:overlap val="-27"/>
        <c:axId val="2127708384"/>
        <c:axId val="1"/>
      </c:barChart>
      <c:catAx>
        <c:axId val="212770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2127708384"/>
        <c:crosses val="autoZero"/>
        <c:crossBetween val="between"/>
      </c:valAx>
      <c:spPr>
        <a:noFill/>
        <a:ln w="25400">
          <a:noFill/>
        </a:ln>
      </c:spPr>
    </c:plotArea>
    <c:legend>
      <c:legendPos val="b"/>
      <c:layout/>
      <c:overlay val="0"/>
      <c:spPr>
        <a:noFill/>
        <a:ln w="25400">
          <a:noFill/>
        </a:ln>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[DASHBOARD.xlsx]Sheet4!PivotTable13</c:name>
    <c:fmtId val="2"/>
  </c:pivotSource>
  <c:chart>
    <c:autoTitleDeleted val="1"/>
    <c:pivotFmts>
      <c:pivotFmt>
        <c:idx val="0"/>
        <c:spPr>
          <a:solidFill>
            <a:srgbClr val="B01513"/>
          </a:solidFill>
          <a:ln w="25400">
            <a:noFill/>
          </a:ln>
        </c:spPr>
        <c:marker>
          <c:symbol val="none"/>
        </c:marker>
      </c:pivotFmt>
      <c:pivotFmt>
        <c:idx val="1"/>
        <c:spPr>
          <a:solidFill>
            <a:srgbClr val="B01513"/>
          </a:solidFill>
          <a:ln w="25400">
            <a:noFill/>
          </a:ln>
        </c:spPr>
        <c:marker>
          <c:symbol val="none"/>
        </c:marker>
      </c:pivotFmt>
      <c:pivotFmt>
        <c:idx val="2"/>
        <c:spPr>
          <a:solidFill>
            <a:srgbClr val="B01513"/>
          </a:solidFill>
          <a:ln w="25400">
            <a:noFill/>
          </a:ln>
        </c:spPr>
        <c:marker>
          <c:symbol val="none"/>
        </c:marker>
      </c:pivotFmt>
    </c:pivotFmts>
    <c:plotArea>
      <c:layout/>
      <c:areaChart>
        <c:grouping val="standard"/>
        <c:varyColors val="0"/>
        <c:ser>
          <c:idx val="0"/>
          <c:order val="0"/>
          <c:tx>
            <c:strRef>
              <c:f>Sheet4!$G$3:$G$4</c:f>
              <c:strCache>
                <c:ptCount val="1"/>
                <c:pt idx="0">
                  <c:v>Total</c:v>
                </c:pt>
              </c:strCache>
            </c:strRef>
          </c:tx>
          <c:spPr>
            <a:solidFill>
              <a:srgbClr val="B01513"/>
            </a:solidFill>
            <a:ln w="25400">
              <a:noFill/>
            </a:ln>
          </c:spPr>
          <c:cat>
            <c:multiLvlStrRef>
              <c:f>Sheet4!$E$5:$F$17</c:f>
              <c:multiLvlStrCache>
                <c:ptCount val="10"/>
                <c:lvl>
                  <c:pt idx="0">
                    <c:v>Finance</c:v>
                  </c:pt>
                  <c:pt idx="1">
                    <c:v>HR</c:v>
                  </c:pt>
                  <c:pt idx="2">
                    <c:v>IT</c:v>
                  </c:pt>
                  <c:pt idx="3">
                    <c:v>Marketing</c:v>
                  </c:pt>
                  <c:pt idx="4">
                    <c:v>Operations</c:v>
                  </c:pt>
                  <c:pt idx="5">
                    <c:v>Finance</c:v>
                  </c:pt>
                  <c:pt idx="6">
                    <c:v>HR</c:v>
                  </c:pt>
                  <c:pt idx="7">
                    <c:v>IT</c:v>
                  </c:pt>
                  <c:pt idx="8">
                    <c:v>Marketing</c:v>
                  </c:pt>
                  <c:pt idx="9">
                    <c:v>Operations</c:v>
                  </c:pt>
                </c:lvl>
                <c:lvl>
                  <c:pt idx="0">
                    <c:v>Female</c:v>
                  </c:pt>
                  <c:pt idx="5">
                    <c:v>Male</c:v>
                  </c:pt>
                </c:lvl>
              </c:multiLvlStrCache>
            </c:multiLvlStrRef>
          </c:cat>
          <c:val>
            <c:numRef>
              <c:f>Sheet4!$G$5:$G$17</c:f>
              <c:numCache>
                <c:formatCode>General</c:formatCode>
                <c:ptCount val="10"/>
                <c:pt idx="0">
                  <c:v>448528</c:v>
                </c:pt>
                <c:pt idx="1">
                  <c:v>355279</c:v>
                </c:pt>
                <c:pt idx="2">
                  <c:v>409177</c:v>
                </c:pt>
                <c:pt idx="3">
                  <c:v>621702</c:v>
                </c:pt>
                <c:pt idx="4">
                  <c:v>522581</c:v>
                </c:pt>
                <c:pt idx="5">
                  <c:v>224091</c:v>
                </c:pt>
                <c:pt idx="6">
                  <c:v>225337</c:v>
                </c:pt>
                <c:pt idx="7">
                  <c:v>356028</c:v>
                </c:pt>
                <c:pt idx="8">
                  <c:v>631899</c:v>
                </c:pt>
                <c:pt idx="9">
                  <c:v>319818</c:v>
                </c:pt>
              </c:numCache>
            </c:numRef>
          </c:val>
          <c:extLst>
            <c:ext xmlns:c16="http://schemas.microsoft.com/office/drawing/2014/chart" uri="{C3380CC4-5D6E-409C-BE32-E72D297353CC}">
              <c16:uniqueId val="{00000000-5ACC-4286-91F9-BD96A7ADB557}"/>
            </c:ext>
          </c:extLst>
        </c:ser>
        <c:dLbls>
          <c:showLegendKey val="0"/>
          <c:showVal val="0"/>
          <c:showCatName val="0"/>
          <c:showSerName val="0"/>
          <c:showPercent val="0"/>
          <c:showBubbleSize val="0"/>
        </c:dLbls>
        <c:axId val="2127705472"/>
        <c:axId val="1"/>
      </c:areaChart>
      <c:catAx>
        <c:axId val="212770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05472"/>
        <c:crosses val="autoZero"/>
        <c:crossBetween val="between"/>
      </c:valAx>
      <c:spPr>
        <a:noFill/>
        <a:ln w="25400">
          <a:noFill/>
        </a:ln>
      </c:spPr>
    </c:plotArea>
    <c:legend>
      <c:legendPos val="b"/>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[DASHBOARD.xlsx]Sheet4!PivotTable14</c:name>
    <c:fmtId val="3"/>
  </c:pivotSource>
  <c:chart>
    <c:autoTitleDeleted val="1"/>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Sheet4!$J$3:$J$4</c:f>
              <c:strCache>
                <c:ptCount val="1"/>
                <c:pt idx="0">
                  <c:v>Total</c:v>
                </c:pt>
              </c:strCache>
            </c:strRef>
          </c:tx>
          <c:spPr>
            <a:ln w="28575" cap="rnd">
              <a:solidFill>
                <a:schemeClr val="accent1"/>
              </a:solidFill>
              <a:round/>
            </a:ln>
            <a:effectLst/>
          </c:spPr>
          <c:marker>
            <c:symbol val="none"/>
          </c:marker>
          <c:cat>
            <c:strRef>
              <c:f>Sheet4!$I$5:$I$24</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Sheet4!$J$5:$J$24</c:f>
              <c:numCache>
                <c:formatCode>General</c:formatCode>
                <c:ptCount val="19"/>
                <c:pt idx="0">
                  <c:v>186044</c:v>
                </c:pt>
                <c:pt idx="1">
                  <c:v>128079</c:v>
                </c:pt>
                <c:pt idx="2">
                  <c:v>212854</c:v>
                </c:pt>
                <c:pt idx="3">
                  <c:v>321955</c:v>
                </c:pt>
                <c:pt idx="4">
                  <c:v>28420</c:v>
                </c:pt>
                <c:pt idx="5">
                  <c:v>28436</c:v>
                </c:pt>
                <c:pt idx="6">
                  <c:v>176762</c:v>
                </c:pt>
                <c:pt idx="7">
                  <c:v>654211</c:v>
                </c:pt>
                <c:pt idx="8">
                  <c:v>277069</c:v>
                </c:pt>
                <c:pt idx="9">
                  <c:v>295419</c:v>
                </c:pt>
                <c:pt idx="10">
                  <c:v>61212</c:v>
                </c:pt>
                <c:pt idx="11">
                  <c:v>182286</c:v>
                </c:pt>
                <c:pt idx="12">
                  <c:v>278582</c:v>
                </c:pt>
                <c:pt idx="13">
                  <c:v>180170</c:v>
                </c:pt>
                <c:pt idx="14">
                  <c:v>513986</c:v>
                </c:pt>
                <c:pt idx="15">
                  <c:v>241067</c:v>
                </c:pt>
                <c:pt idx="16">
                  <c:v>117032</c:v>
                </c:pt>
                <c:pt idx="17">
                  <c:v>162331</c:v>
                </c:pt>
                <c:pt idx="18">
                  <c:v>68525</c:v>
                </c:pt>
              </c:numCache>
            </c:numRef>
          </c:val>
          <c:smooth val="0"/>
          <c:extLst>
            <c:ext xmlns:c16="http://schemas.microsoft.com/office/drawing/2014/chart" uri="{C3380CC4-5D6E-409C-BE32-E72D297353CC}">
              <c16:uniqueId val="{00000000-6743-4793-94D7-C3F476996086}"/>
            </c:ext>
          </c:extLst>
        </c:ser>
        <c:dLbls>
          <c:showLegendKey val="0"/>
          <c:showVal val="0"/>
          <c:showCatName val="0"/>
          <c:showSerName val="0"/>
          <c:showPercent val="0"/>
          <c:showBubbleSize val="0"/>
        </c:dLbls>
        <c:smooth val="0"/>
        <c:axId val="2127707968"/>
        <c:axId val="1"/>
      </c:lineChart>
      <c:catAx>
        <c:axId val="21277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07968"/>
        <c:crosses val="autoZero"/>
        <c:crossBetween val="between"/>
      </c:valAx>
      <c:spPr>
        <a:noFill/>
        <a:ln w="25400">
          <a:noFill/>
        </a:ln>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[DASHBOARD.xlsx]Sheet4!PivotTable15</c:name>
    <c:fmtId val="2"/>
  </c:pivotSource>
  <c:chart>
    <c:autoTitleDeleted val="1"/>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marker>
          <c:symbol val="none"/>
        </c:marke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5"/>
          </a:solidFill>
          <a:ln w="19050">
            <a:solidFill>
              <a:schemeClr val="lt1"/>
            </a:solidFill>
          </a:ln>
          <a:effectLst/>
        </c:spPr>
      </c:pivotFmt>
      <c:pivotFmt>
        <c:idx val="12"/>
        <c:marker>
          <c:symbol val="none"/>
        </c:marke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5"/>
          </a:solidFill>
          <a:ln w="19050">
            <a:solidFill>
              <a:schemeClr val="lt1"/>
            </a:solidFill>
          </a:ln>
          <a:effectLst/>
        </c:spPr>
      </c:pivotFmt>
      <c:pivotFmt>
        <c:idx val="18"/>
        <c:marker>
          <c:symbol val="none"/>
        </c:marker>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5"/>
          </a:solidFill>
          <a:ln w="19050">
            <a:solidFill>
              <a:schemeClr val="lt1"/>
            </a:solidFill>
          </a:ln>
          <a:effectLst/>
        </c:spPr>
      </c:pivotFmt>
      <c:pivotFmt>
        <c:idx val="24"/>
        <c:marker>
          <c:symbol val="none"/>
        </c:marker>
      </c:pivotFmt>
      <c:pivotFmt>
        <c:idx val="25"/>
        <c:spPr>
          <a:solidFill>
            <a:schemeClr val="accent1"/>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5"/>
          </a:solidFill>
          <a:ln w="19050">
            <a:solidFill>
              <a:schemeClr val="lt1"/>
            </a:solidFill>
          </a:ln>
          <a:effectLst/>
        </c:spPr>
      </c:pivotFmt>
      <c:pivotFmt>
        <c:idx val="30"/>
        <c:marker>
          <c:symbol val="none"/>
        </c:marker>
      </c:pivotFmt>
      <c:pivotFmt>
        <c:idx val="31"/>
        <c:spPr>
          <a:solidFill>
            <a:schemeClr val="accent1"/>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3"/>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5"/>
          </a:solidFill>
          <a:ln w="19050">
            <a:solidFill>
              <a:schemeClr val="lt1"/>
            </a:solidFill>
          </a:ln>
          <a:effectLst/>
        </c:spPr>
      </c:pivotFmt>
    </c:pivotFmts>
    <c:plotArea>
      <c:layout/>
      <c:pieChart>
        <c:varyColors val="1"/>
        <c:ser>
          <c:idx val="0"/>
          <c:order val="0"/>
          <c:tx>
            <c:strRef>
              <c:f>Sheet4!$M$3:$M$4</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6B-419A-B60D-FF5B141A33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6B-419A-B60D-FF5B141A33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6B-419A-B60D-FF5B141A33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6B-419A-B60D-FF5B141A33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6B-419A-B60D-FF5B141A333A}"/>
              </c:ext>
            </c:extLst>
          </c:dPt>
          <c:cat>
            <c:strRef>
              <c:f>Sheet4!$L$5:$L$10</c:f>
              <c:strCache>
                <c:ptCount val="5"/>
                <c:pt idx="0">
                  <c:v>Bangalore</c:v>
                </c:pt>
                <c:pt idx="1">
                  <c:v>Chennai</c:v>
                </c:pt>
                <c:pt idx="2">
                  <c:v>Delhi</c:v>
                </c:pt>
                <c:pt idx="3">
                  <c:v>Hyderabad</c:v>
                </c:pt>
                <c:pt idx="4">
                  <c:v>Mumbai</c:v>
                </c:pt>
              </c:strCache>
            </c:strRef>
          </c:cat>
          <c:val>
            <c:numRef>
              <c:f>Sheet4!$M$5:$M$10</c:f>
              <c:numCache>
                <c:formatCode>General</c:formatCode>
                <c:ptCount val="5"/>
                <c:pt idx="0">
                  <c:v>5</c:v>
                </c:pt>
                <c:pt idx="1">
                  <c:v>1</c:v>
                </c:pt>
                <c:pt idx="2">
                  <c:v>10</c:v>
                </c:pt>
                <c:pt idx="3">
                  <c:v>9</c:v>
                </c:pt>
                <c:pt idx="4">
                  <c:v>2</c:v>
                </c:pt>
              </c:numCache>
            </c:numRef>
          </c:val>
          <c:extLst>
            <c:ext xmlns:c16="http://schemas.microsoft.com/office/drawing/2014/chart" uri="{C3380CC4-5D6E-409C-BE32-E72D297353CC}">
              <c16:uniqueId val="{0000000A-A86B-419A-B60D-FF5B141A333A}"/>
            </c:ext>
          </c:extLst>
        </c:ser>
        <c:ser>
          <c:idx val="1"/>
          <c:order val="1"/>
          <c:tx>
            <c:strRef>
              <c:f>Sheet4!$N$3:$N$4</c:f>
              <c:strCache>
                <c:ptCount val="1"/>
                <c:pt idx="0">
                  <c:v>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Sheet4!$L$5:$L$10</c:f>
              <c:strCache>
                <c:ptCount val="5"/>
                <c:pt idx="0">
                  <c:v>Bangalore</c:v>
                </c:pt>
                <c:pt idx="1">
                  <c:v>Chennai</c:v>
                </c:pt>
                <c:pt idx="2">
                  <c:v>Delhi</c:v>
                </c:pt>
                <c:pt idx="3">
                  <c:v>Hyderabad</c:v>
                </c:pt>
                <c:pt idx="4">
                  <c:v>Mumbai</c:v>
                </c:pt>
              </c:strCache>
            </c:strRef>
          </c:cat>
          <c:val>
            <c:numRef>
              <c:f>Sheet4!$N$5:$N$10</c:f>
              <c:numCache>
                <c:formatCode>General</c:formatCode>
                <c:ptCount val="5"/>
                <c:pt idx="0">
                  <c:v>6</c:v>
                </c:pt>
                <c:pt idx="1">
                  <c:v>4</c:v>
                </c:pt>
                <c:pt idx="2">
                  <c:v>5</c:v>
                </c:pt>
                <c:pt idx="3">
                  <c:v>3</c:v>
                </c:pt>
                <c:pt idx="4">
                  <c:v>5</c:v>
                </c:pt>
              </c:numCache>
            </c:numRef>
          </c:val>
          <c:extLst>
            <c:ext xmlns:c16="http://schemas.microsoft.com/office/drawing/2014/chart" uri="{C3380CC4-5D6E-409C-BE32-E72D297353CC}">
              <c16:uniqueId val="{00000017-A86B-419A-B60D-FF5B141A333A}"/>
            </c:ext>
          </c:extLst>
        </c:ser>
        <c:dLbls>
          <c:showLegendKey val="0"/>
          <c:showVal val="0"/>
          <c:showCatName val="0"/>
          <c:showSerName val="0"/>
          <c:showPercent val="0"/>
          <c:showBubbleSize val="0"/>
          <c:showLeaderLines val="1"/>
        </c:dLbls>
        <c:firstSliceAng val="0"/>
      </c:pieChart>
      <c:spPr>
        <a:noFill/>
        <a:ln w="25400">
          <a:noFill/>
        </a:ln>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182880</xdr:rowOff>
    </xdr:from>
    <xdr:to>
      <xdr:col>5</xdr:col>
      <xdr:colOff>381000</xdr:colOff>
      <xdr:row>33</xdr:row>
      <xdr:rowOff>182880</xdr:rowOff>
    </xdr:to>
    <xdr:graphicFrame macro="">
      <xdr:nvGraphicFramePr>
        <xdr:cNvPr id="819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701040</xdr:colOff>
      <xdr:row>25</xdr:row>
      <xdr:rowOff>22860</xdr:rowOff>
    </xdr:from>
    <xdr:to>
      <xdr:col>10</xdr:col>
      <xdr:colOff>967740</xdr:colOff>
      <xdr:row>40</xdr:row>
      <xdr:rowOff>137160</xdr:rowOff>
    </xdr:to>
    <xdr:graphicFrame macro="">
      <xdr:nvGraphicFramePr>
        <xdr:cNvPr id="8200"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213360</xdr:colOff>
      <xdr:row>35</xdr:row>
      <xdr:rowOff>99060</xdr:rowOff>
    </xdr:from>
    <xdr:to>
      <xdr:col>5</xdr:col>
      <xdr:colOff>167640</xdr:colOff>
      <xdr:row>51</xdr:row>
      <xdr:rowOff>38100</xdr:rowOff>
    </xdr:to>
    <xdr:graphicFrame macro="">
      <xdr:nvGraphicFramePr>
        <xdr:cNvPr id="820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259080</xdr:colOff>
      <xdr:row>41</xdr:row>
      <xdr:rowOff>53340</xdr:rowOff>
    </xdr:from>
    <xdr:to>
      <xdr:col>10</xdr:col>
      <xdr:colOff>525780</xdr:colOff>
      <xdr:row>56</xdr:row>
      <xdr:rowOff>167640</xdr:rowOff>
    </xdr:to>
    <xdr:graphicFrame macro="">
      <xdr:nvGraphicFramePr>
        <xdr:cNvPr id="820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0</xdr:row>
      <xdr:rowOff>76200</xdr:rowOff>
    </xdr:from>
    <xdr:to>
      <xdr:col>18</xdr:col>
      <xdr:colOff>22860</xdr:colOff>
      <xdr:row>6</xdr:row>
      <xdr:rowOff>137160</xdr:rowOff>
    </xdr:to>
    <xdr:sp macro="" textlink="">
      <xdr:nvSpPr>
        <xdr:cNvPr id="3" name="Rounded Rectangle 2"/>
        <xdr:cNvSpPr/>
      </xdr:nvSpPr>
      <xdr:spPr>
        <a:xfrm>
          <a:off x="1607820" y="76200"/>
          <a:ext cx="10485120" cy="1158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oneCellAnchor>
    <xdr:from>
      <xdr:col>5</xdr:col>
      <xdr:colOff>88691</xdr:colOff>
      <xdr:row>0</xdr:row>
      <xdr:rowOff>74124</xdr:rowOff>
    </xdr:from>
    <xdr:ext cx="6970178" cy="941412"/>
    <xdr:sp macro="" textlink="">
      <xdr:nvSpPr>
        <xdr:cNvPr id="5" name="Rectangle 4"/>
        <xdr:cNvSpPr/>
      </xdr:nvSpPr>
      <xdr:spPr>
        <a:xfrm>
          <a:off x="3441491" y="74124"/>
          <a:ext cx="6970178" cy="941412"/>
        </a:xfrm>
        <a:prstGeom prst="rect">
          <a:avLst/>
        </a:prstGeom>
        <a:noFill/>
      </xdr:spPr>
      <xdr:txBody>
        <a:bodyPr wrap="none" lIns="91440" tIns="45720" rIns="91440" bIns="45720">
          <a:spAutoFit/>
        </a:bodyPr>
        <a:lstStyle/>
        <a:p>
          <a:pPr algn="ctr"/>
          <a:r>
            <a:rPr lang="en-SG"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EMPLOYEE ANALYSIS</a:t>
          </a:r>
        </a:p>
      </xdr:txBody>
    </xdr:sp>
    <xdr:clientData/>
  </xdr:oneCellAnchor>
  <xdr:twoCellAnchor>
    <xdr:from>
      <xdr:col>0</xdr:col>
      <xdr:colOff>83820</xdr:colOff>
      <xdr:row>8</xdr:row>
      <xdr:rowOff>99060</xdr:rowOff>
    </xdr:from>
    <xdr:to>
      <xdr:col>4</xdr:col>
      <xdr:colOff>350520</xdr:colOff>
      <xdr:row>16</xdr:row>
      <xdr:rowOff>106680</xdr:rowOff>
    </xdr:to>
    <xdr:sp macro="" textlink="">
      <xdr:nvSpPr>
        <xdr:cNvPr id="6" name="Rectangle 5"/>
        <xdr:cNvSpPr/>
      </xdr:nvSpPr>
      <xdr:spPr>
        <a:xfrm>
          <a:off x="83820" y="1501140"/>
          <a:ext cx="2948940" cy="14097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4</xdr:col>
      <xdr:colOff>586740</xdr:colOff>
      <xdr:row>8</xdr:row>
      <xdr:rowOff>121920</xdr:rowOff>
    </xdr:from>
    <xdr:to>
      <xdr:col>9</xdr:col>
      <xdr:colOff>182880</xdr:colOff>
      <xdr:row>16</xdr:row>
      <xdr:rowOff>129540</xdr:rowOff>
    </xdr:to>
    <xdr:sp macro="" textlink="">
      <xdr:nvSpPr>
        <xdr:cNvPr id="7" name="Rectangle 6"/>
        <xdr:cNvSpPr/>
      </xdr:nvSpPr>
      <xdr:spPr>
        <a:xfrm>
          <a:off x="3268980" y="1524000"/>
          <a:ext cx="2948940" cy="14097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9</xdr:col>
      <xdr:colOff>419100</xdr:colOff>
      <xdr:row>8</xdr:row>
      <xdr:rowOff>106680</xdr:rowOff>
    </xdr:from>
    <xdr:to>
      <xdr:col>14</xdr:col>
      <xdr:colOff>15240</xdr:colOff>
      <xdr:row>16</xdr:row>
      <xdr:rowOff>114300</xdr:rowOff>
    </xdr:to>
    <xdr:sp macro="" textlink="">
      <xdr:nvSpPr>
        <xdr:cNvPr id="8" name="Rectangle 7"/>
        <xdr:cNvSpPr/>
      </xdr:nvSpPr>
      <xdr:spPr>
        <a:xfrm>
          <a:off x="6454140" y="1508760"/>
          <a:ext cx="2948940" cy="14097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14</xdr:col>
      <xdr:colOff>259080</xdr:colOff>
      <xdr:row>8</xdr:row>
      <xdr:rowOff>99060</xdr:rowOff>
    </xdr:from>
    <xdr:to>
      <xdr:col>18</xdr:col>
      <xdr:colOff>525780</xdr:colOff>
      <xdr:row>16</xdr:row>
      <xdr:rowOff>106680</xdr:rowOff>
    </xdr:to>
    <xdr:sp macro="" textlink="">
      <xdr:nvSpPr>
        <xdr:cNvPr id="9" name="Rectangle 8"/>
        <xdr:cNvSpPr/>
      </xdr:nvSpPr>
      <xdr:spPr>
        <a:xfrm>
          <a:off x="9646920" y="1501140"/>
          <a:ext cx="2948940" cy="14097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0</xdr:col>
      <xdr:colOff>259080</xdr:colOff>
      <xdr:row>9</xdr:row>
      <xdr:rowOff>144780</xdr:rowOff>
    </xdr:from>
    <xdr:to>
      <xdr:col>1</xdr:col>
      <xdr:colOff>213360</xdr:colOff>
      <xdr:row>13</xdr:row>
      <xdr:rowOff>99060</xdr:rowOff>
    </xdr:to>
    <xdr:sp macro="" textlink="">
      <xdr:nvSpPr>
        <xdr:cNvPr id="10" name="Right Arrow 9"/>
        <xdr:cNvSpPr/>
      </xdr:nvSpPr>
      <xdr:spPr>
        <a:xfrm>
          <a:off x="259080" y="1722120"/>
          <a:ext cx="624840" cy="655320"/>
        </a:xfrm>
        <a:prstGeom prst="right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clientData/>
  </xdr:twoCellAnchor>
  <xdr:twoCellAnchor>
    <xdr:from>
      <xdr:col>5</xdr:col>
      <xdr:colOff>99060</xdr:colOff>
      <xdr:row>10</xdr:row>
      <xdr:rowOff>7620</xdr:rowOff>
    </xdr:from>
    <xdr:to>
      <xdr:col>6</xdr:col>
      <xdr:colOff>53340</xdr:colOff>
      <xdr:row>13</xdr:row>
      <xdr:rowOff>137160</xdr:rowOff>
    </xdr:to>
    <xdr:sp macro="" textlink="">
      <xdr:nvSpPr>
        <xdr:cNvPr id="11" name="Right Arrow 10"/>
        <xdr:cNvSpPr/>
      </xdr:nvSpPr>
      <xdr:spPr>
        <a:xfrm>
          <a:off x="3451860" y="1760220"/>
          <a:ext cx="624840" cy="655320"/>
        </a:xfrm>
        <a:prstGeom prst="right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clientData/>
  </xdr:twoCellAnchor>
  <xdr:twoCellAnchor>
    <xdr:from>
      <xdr:col>9</xdr:col>
      <xdr:colOff>533400</xdr:colOff>
      <xdr:row>9</xdr:row>
      <xdr:rowOff>137160</xdr:rowOff>
    </xdr:from>
    <xdr:to>
      <xdr:col>10</xdr:col>
      <xdr:colOff>487680</xdr:colOff>
      <xdr:row>13</xdr:row>
      <xdr:rowOff>91440</xdr:rowOff>
    </xdr:to>
    <xdr:sp macro="" textlink="">
      <xdr:nvSpPr>
        <xdr:cNvPr id="12" name="Right Arrow 11"/>
        <xdr:cNvSpPr/>
      </xdr:nvSpPr>
      <xdr:spPr>
        <a:xfrm>
          <a:off x="6568440" y="1714500"/>
          <a:ext cx="624840" cy="655320"/>
        </a:xfrm>
        <a:prstGeom prst="right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clientData/>
  </xdr:twoCellAnchor>
  <xdr:twoCellAnchor>
    <xdr:from>
      <xdr:col>14</xdr:col>
      <xdr:colOff>396240</xdr:colOff>
      <xdr:row>9</xdr:row>
      <xdr:rowOff>160020</xdr:rowOff>
    </xdr:from>
    <xdr:to>
      <xdr:col>15</xdr:col>
      <xdr:colOff>350520</xdr:colOff>
      <xdr:row>13</xdr:row>
      <xdr:rowOff>114300</xdr:rowOff>
    </xdr:to>
    <xdr:sp macro="" textlink="">
      <xdr:nvSpPr>
        <xdr:cNvPr id="13" name="Right Arrow 12"/>
        <xdr:cNvSpPr/>
      </xdr:nvSpPr>
      <xdr:spPr>
        <a:xfrm>
          <a:off x="9784080" y="1737360"/>
          <a:ext cx="624840" cy="655320"/>
        </a:xfrm>
        <a:prstGeom prst="right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419100</xdr:colOff>
      <xdr:row>9</xdr:row>
      <xdr:rowOff>167640</xdr:rowOff>
    </xdr:from>
    <xdr:to>
      <xdr:col>3</xdr:col>
      <xdr:colOff>487680</xdr:colOff>
      <xdr:row>14</xdr:row>
      <xdr:rowOff>15240</xdr:rowOff>
    </xdr:to>
    <xdr:sp macro="" textlink="">
      <xdr:nvSpPr>
        <xdr:cNvPr id="14" name="TextBox 13"/>
        <xdr:cNvSpPr txBox="1"/>
      </xdr:nvSpPr>
      <xdr:spPr>
        <a:xfrm>
          <a:off x="1089660" y="1744980"/>
          <a:ext cx="140970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400" b="0" i="0" u="none" strike="noStrike">
              <a:solidFill>
                <a:schemeClr val="tx2">
                  <a:lumMod val="75000"/>
                </a:schemeClr>
              </a:solidFill>
              <a:effectLst/>
              <a:latin typeface="Stencil" panose="040409050D0802020404" pitchFamily="82" charset="0"/>
              <a:ea typeface="+mn-ea"/>
              <a:cs typeface="+mn-cs"/>
            </a:rPr>
            <a:t>Total Employees:</a:t>
          </a:r>
          <a:r>
            <a:rPr lang="en-SG" sz="1400" b="0" i="0" u="none" strike="noStrike" baseline="0">
              <a:solidFill>
                <a:schemeClr val="tx2">
                  <a:lumMod val="75000"/>
                </a:schemeClr>
              </a:solidFill>
              <a:effectLst/>
              <a:latin typeface="Stencil" panose="040409050D0802020404" pitchFamily="82" charset="0"/>
              <a:ea typeface="+mn-ea"/>
              <a:cs typeface="+mn-cs"/>
            </a:rPr>
            <a:t> </a:t>
          </a:r>
          <a:r>
            <a:rPr lang="en-SG" sz="1400" b="0" i="0" u="none" strike="noStrike">
              <a:solidFill>
                <a:schemeClr val="tx2">
                  <a:lumMod val="75000"/>
                </a:schemeClr>
              </a:solidFill>
              <a:effectLst/>
              <a:latin typeface="Stencil" panose="040409050D0802020404" pitchFamily="82" charset="0"/>
              <a:ea typeface="+mn-ea"/>
              <a:cs typeface="+mn-cs"/>
            </a:rPr>
            <a:t>50</a:t>
          </a:r>
          <a:r>
            <a:rPr lang="en-SG" sz="1400">
              <a:solidFill>
                <a:schemeClr val="tx2">
                  <a:lumMod val="75000"/>
                </a:schemeClr>
              </a:solidFill>
              <a:latin typeface="Stencil" panose="040409050D0802020404" pitchFamily="82" charset="0"/>
            </a:rPr>
            <a:t> </a:t>
          </a:r>
        </a:p>
      </xdr:txBody>
    </xdr:sp>
    <xdr:clientData/>
  </xdr:twoCellAnchor>
  <xdr:twoCellAnchor>
    <xdr:from>
      <xdr:col>6</xdr:col>
      <xdr:colOff>266700</xdr:colOff>
      <xdr:row>10</xdr:row>
      <xdr:rowOff>45720</xdr:rowOff>
    </xdr:from>
    <xdr:to>
      <xdr:col>8</xdr:col>
      <xdr:colOff>533400</xdr:colOff>
      <xdr:row>13</xdr:row>
      <xdr:rowOff>160020</xdr:rowOff>
    </xdr:to>
    <xdr:sp macro="" textlink="">
      <xdr:nvSpPr>
        <xdr:cNvPr id="16" name="TextBox 15"/>
        <xdr:cNvSpPr txBox="1"/>
      </xdr:nvSpPr>
      <xdr:spPr>
        <a:xfrm>
          <a:off x="4290060" y="1798320"/>
          <a:ext cx="1607820" cy="640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400" b="0" i="0" u="none" strike="noStrike">
              <a:solidFill>
                <a:schemeClr val="tx2">
                  <a:lumMod val="75000"/>
                </a:schemeClr>
              </a:solidFill>
              <a:effectLst/>
              <a:latin typeface="Stencil" panose="040409050D0802020404" pitchFamily="82" charset="0"/>
              <a:ea typeface="+mn-ea"/>
              <a:cs typeface="+mn-cs"/>
            </a:rPr>
            <a:t>Net salary:</a:t>
          </a:r>
          <a:r>
            <a:rPr lang="en-SG" sz="1400" b="0" i="0" u="none" strike="noStrike" baseline="0">
              <a:solidFill>
                <a:schemeClr val="tx2">
                  <a:lumMod val="75000"/>
                </a:schemeClr>
              </a:solidFill>
              <a:effectLst/>
              <a:latin typeface="Stencil" panose="040409050D0802020404" pitchFamily="82" charset="0"/>
              <a:ea typeface="+mn-ea"/>
              <a:cs typeface="+mn-cs"/>
            </a:rPr>
            <a:t> </a:t>
          </a:r>
          <a:r>
            <a:rPr lang="en-SG" sz="1400" b="0" i="0" u="none" strike="noStrike">
              <a:solidFill>
                <a:schemeClr val="tx2">
                  <a:lumMod val="75000"/>
                </a:schemeClr>
              </a:solidFill>
              <a:effectLst/>
              <a:latin typeface="Stencil" panose="040409050D0802020404" pitchFamily="82" charset="0"/>
              <a:ea typeface="+mn-ea"/>
              <a:cs typeface="+mn-cs"/>
            </a:rPr>
            <a:t>4114440</a:t>
          </a:r>
          <a:r>
            <a:rPr lang="en-SG" sz="1400">
              <a:solidFill>
                <a:schemeClr val="tx2">
                  <a:lumMod val="75000"/>
                </a:schemeClr>
              </a:solidFill>
              <a:latin typeface="Stencil" panose="040409050D0802020404" pitchFamily="82" charset="0"/>
            </a:rPr>
            <a:t> </a:t>
          </a:r>
        </a:p>
      </xdr:txBody>
    </xdr:sp>
    <xdr:clientData/>
  </xdr:twoCellAnchor>
  <xdr:twoCellAnchor>
    <xdr:from>
      <xdr:col>11</xdr:col>
      <xdr:colOff>76200</xdr:colOff>
      <xdr:row>10</xdr:row>
      <xdr:rowOff>30480</xdr:rowOff>
    </xdr:from>
    <xdr:to>
      <xdr:col>13</xdr:col>
      <xdr:colOff>251460</xdr:colOff>
      <xdr:row>13</xdr:row>
      <xdr:rowOff>68580</xdr:rowOff>
    </xdr:to>
    <xdr:sp macro="" textlink="">
      <xdr:nvSpPr>
        <xdr:cNvPr id="17" name="TextBox 16"/>
        <xdr:cNvSpPr txBox="1"/>
      </xdr:nvSpPr>
      <xdr:spPr>
        <a:xfrm>
          <a:off x="7452360" y="1783080"/>
          <a:ext cx="15163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400" b="0" i="0" u="none" strike="noStrike">
              <a:solidFill>
                <a:schemeClr val="tx2">
                  <a:lumMod val="75000"/>
                </a:schemeClr>
              </a:solidFill>
              <a:effectLst/>
              <a:latin typeface="Stencil" panose="040409050D0802020404" pitchFamily="82" charset="0"/>
              <a:ea typeface="+mn-ea"/>
              <a:cs typeface="+mn-cs"/>
            </a:rPr>
            <a:t>Average:</a:t>
          </a:r>
          <a:r>
            <a:rPr lang="en-SG" sz="1400" b="0" i="0" u="none" strike="noStrike" baseline="0">
              <a:solidFill>
                <a:schemeClr val="tx2">
                  <a:lumMod val="75000"/>
                </a:schemeClr>
              </a:solidFill>
              <a:effectLst/>
              <a:latin typeface="Stencil" panose="040409050D0802020404" pitchFamily="82" charset="0"/>
              <a:ea typeface="+mn-ea"/>
              <a:cs typeface="+mn-cs"/>
            </a:rPr>
            <a:t> </a:t>
          </a:r>
          <a:r>
            <a:rPr lang="en-SG" sz="1400" b="0" i="0" u="none" strike="noStrike">
              <a:solidFill>
                <a:schemeClr val="tx2">
                  <a:lumMod val="75000"/>
                </a:schemeClr>
              </a:solidFill>
              <a:effectLst/>
              <a:latin typeface="Stencil" panose="040409050D0802020404" pitchFamily="82" charset="0"/>
              <a:ea typeface="+mn-ea"/>
              <a:cs typeface="+mn-cs"/>
            </a:rPr>
            <a:t>121752</a:t>
          </a:r>
          <a:r>
            <a:rPr lang="en-SG" sz="1400">
              <a:solidFill>
                <a:schemeClr val="tx2">
                  <a:lumMod val="75000"/>
                </a:schemeClr>
              </a:solidFill>
              <a:latin typeface="Stencil" panose="040409050D0802020404" pitchFamily="82" charset="0"/>
            </a:rPr>
            <a:t> </a:t>
          </a:r>
        </a:p>
      </xdr:txBody>
    </xdr:sp>
    <xdr:clientData/>
  </xdr:twoCellAnchor>
  <xdr:twoCellAnchor>
    <xdr:from>
      <xdr:col>15</xdr:col>
      <xdr:colOff>502920</xdr:colOff>
      <xdr:row>10</xdr:row>
      <xdr:rowOff>7620</xdr:rowOff>
    </xdr:from>
    <xdr:to>
      <xdr:col>18</xdr:col>
      <xdr:colOff>91440</xdr:colOff>
      <xdr:row>14</xdr:row>
      <xdr:rowOff>7620</xdr:rowOff>
    </xdr:to>
    <xdr:sp macro="" textlink="">
      <xdr:nvSpPr>
        <xdr:cNvPr id="18" name="TextBox 17"/>
        <xdr:cNvSpPr txBox="1"/>
      </xdr:nvSpPr>
      <xdr:spPr>
        <a:xfrm>
          <a:off x="10561320" y="1760220"/>
          <a:ext cx="1600200" cy="70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400" b="0" i="0" u="none" strike="noStrike">
              <a:solidFill>
                <a:schemeClr val="tx2">
                  <a:lumMod val="75000"/>
                </a:schemeClr>
              </a:solidFill>
              <a:effectLst/>
              <a:latin typeface="Stencil" panose="040409050D0802020404" pitchFamily="82" charset="0"/>
              <a:ea typeface="+mn-ea"/>
              <a:cs typeface="+mn-cs"/>
            </a:rPr>
            <a:t>Male</a:t>
          </a:r>
          <a:r>
            <a:rPr lang="en-SG" sz="1400">
              <a:solidFill>
                <a:schemeClr val="tx2">
                  <a:lumMod val="75000"/>
                </a:schemeClr>
              </a:solidFill>
              <a:latin typeface="Stencil" panose="040409050D0802020404" pitchFamily="82" charset="0"/>
            </a:rPr>
            <a:t> : </a:t>
          </a:r>
          <a:r>
            <a:rPr lang="en-SG" sz="1400" b="0" i="0" u="none" strike="noStrike">
              <a:solidFill>
                <a:schemeClr val="tx2">
                  <a:lumMod val="75000"/>
                </a:schemeClr>
              </a:solidFill>
              <a:effectLst/>
              <a:latin typeface="Stencil" panose="040409050D0802020404" pitchFamily="82" charset="0"/>
              <a:ea typeface="+mn-ea"/>
              <a:cs typeface="+mn-cs"/>
            </a:rPr>
            <a:t>23</a:t>
          </a:r>
          <a:r>
            <a:rPr lang="en-SG" sz="1400">
              <a:solidFill>
                <a:schemeClr val="tx2">
                  <a:lumMod val="75000"/>
                </a:schemeClr>
              </a:solidFill>
              <a:latin typeface="Stencil" panose="040409050D0802020404" pitchFamily="82" charset="0"/>
            </a:rPr>
            <a:t> </a:t>
          </a:r>
          <a:r>
            <a:rPr lang="en-SG" sz="1400" b="0" i="0" u="none" strike="noStrike">
              <a:solidFill>
                <a:schemeClr val="tx2">
                  <a:lumMod val="75000"/>
                </a:schemeClr>
              </a:solidFill>
              <a:effectLst/>
              <a:latin typeface="Stencil" panose="040409050D0802020404" pitchFamily="82" charset="0"/>
              <a:ea typeface="+mn-ea"/>
              <a:cs typeface="+mn-cs"/>
            </a:rPr>
            <a:t>Female :</a:t>
          </a:r>
          <a:r>
            <a:rPr lang="en-SG" sz="1400">
              <a:solidFill>
                <a:schemeClr val="tx2">
                  <a:lumMod val="75000"/>
                </a:schemeClr>
              </a:solidFill>
              <a:latin typeface="Stencil" panose="040409050D0802020404" pitchFamily="82" charset="0"/>
            </a:rPr>
            <a:t> </a:t>
          </a:r>
          <a:r>
            <a:rPr lang="en-SG" sz="1400" b="0" i="0" u="none" strike="noStrike">
              <a:solidFill>
                <a:schemeClr val="tx2">
                  <a:lumMod val="75000"/>
                </a:schemeClr>
              </a:solidFill>
              <a:effectLst/>
              <a:latin typeface="Stencil" panose="040409050D0802020404" pitchFamily="82" charset="0"/>
              <a:ea typeface="+mn-ea"/>
              <a:cs typeface="+mn-cs"/>
            </a:rPr>
            <a:t>27</a:t>
          </a:r>
          <a:r>
            <a:rPr lang="en-SG" sz="1400">
              <a:solidFill>
                <a:schemeClr val="tx2">
                  <a:lumMod val="75000"/>
                </a:schemeClr>
              </a:solidFill>
              <a:latin typeface="Stencil" panose="040409050D0802020404" pitchFamily="82" charset="0"/>
            </a:rPr>
            <a:t> </a:t>
          </a:r>
        </a:p>
      </xdr:txBody>
    </xdr:sp>
    <xdr:clientData/>
  </xdr:twoCellAnchor>
  <xdr:twoCellAnchor>
    <xdr:from>
      <xdr:col>0</xdr:col>
      <xdr:colOff>114300</xdr:colOff>
      <xdr:row>22</xdr:row>
      <xdr:rowOff>152400</xdr:rowOff>
    </xdr:from>
    <xdr:to>
      <xdr:col>7</xdr:col>
      <xdr:colOff>525780</xdr:colOff>
      <xdr:row>37</xdr:row>
      <xdr:rowOff>152400</xdr:rowOff>
    </xdr:to>
    <xdr:graphicFrame macro="">
      <xdr:nvGraphicFramePr>
        <xdr:cNvPr id="1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586740</xdr:colOff>
      <xdr:row>23</xdr:row>
      <xdr:rowOff>15240</xdr:rowOff>
    </xdr:from>
    <xdr:to>
      <xdr:col>16</xdr:col>
      <xdr:colOff>601980</xdr:colOff>
      <xdr:row>38</xdr:row>
      <xdr:rowOff>129540</xdr:rowOff>
    </xdr:to>
    <xdr:graphicFrame macro="">
      <xdr:nvGraphicFramePr>
        <xdr:cNvPr id="20"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175260</xdr:colOff>
      <xdr:row>41</xdr:row>
      <xdr:rowOff>0</xdr:rowOff>
    </xdr:from>
    <xdr:to>
      <xdr:col>7</xdr:col>
      <xdr:colOff>160020</xdr:colOff>
      <xdr:row>56</xdr:row>
      <xdr:rowOff>114300</xdr:rowOff>
    </xdr:to>
    <xdr:graphicFrame macro="">
      <xdr:nvGraphicFramePr>
        <xdr:cNvPr id="2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350520</xdr:colOff>
      <xdr:row>40</xdr:row>
      <xdr:rowOff>91440</xdr:rowOff>
    </xdr:from>
    <xdr:to>
      <xdr:col>16</xdr:col>
      <xdr:colOff>365760</xdr:colOff>
      <xdr:row>56</xdr:row>
      <xdr:rowOff>30480</xdr:rowOff>
    </xdr:to>
    <xdr:graphicFrame macro="">
      <xdr:nvGraphicFramePr>
        <xdr:cNvPr id="2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182880</xdr:colOff>
      <xdr:row>17</xdr:row>
      <xdr:rowOff>91441</xdr:rowOff>
    </xdr:from>
    <xdr:to>
      <xdr:col>3</xdr:col>
      <xdr:colOff>91440</xdr:colOff>
      <xdr:row>22</xdr:row>
      <xdr:rowOff>45720</xdr:rowOff>
    </xdr:to>
    <mc:AlternateContent xmlns:mc="http://schemas.openxmlformats.org/markup-compatibility/2006">
      <mc:Choice xmlns:a14="http://schemas.microsoft.com/office/drawing/2010/main" Requires="a14">
        <xdr:graphicFrame macro="">
          <xdr:nvGraphicFramePr>
            <xdr:cNvPr id="2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2880" y="3114041"/>
              <a:ext cx="1927860" cy="84327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640080</xdr:colOff>
      <xdr:row>17</xdr:row>
      <xdr:rowOff>167641</xdr:rowOff>
    </xdr:from>
    <xdr:to>
      <xdr:col>6</xdr:col>
      <xdr:colOff>457200</xdr:colOff>
      <xdr:row>21</xdr:row>
      <xdr:rowOff>167641</xdr:rowOff>
    </xdr:to>
    <mc:AlternateContent xmlns:mc="http://schemas.openxmlformats.org/markup-compatibility/2006">
      <mc:Choice xmlns:a14="http://schemas.microsoft.com/office/drawing/2010/main" Requires="a14">
        <xdr:graphicFrame macro="">
          <xdr:nvGraphicFramePr>
            <xdr:cNvPr id="2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59380" y="3190241"/>
              <a:ext cx="1836420" cy="7112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121920</xdr:colOff>
      <xdr:row>17</xdr:row>
      <xdr:rowOff>91440</xdr:rowOff>
    </xdr:from>
    <xdr:to>
      <xdr:col>12</xdr:col>
      <xdr:colOff>381000</xdr:colOff>
      <xdr:row>22</xdr:row>
      <xdr:rowOff>76200</xdr:rowOff>
    </xdr:to>
    <mc:AlternateContent xmlns:mc="http://schemas.openxmlformats.org/markup-compatibility/2006">
      <mc:Choice xmlns:a14="http://schemas.microsoft.com/office/drawing/2010/main" Requires="a14">
        <xdr:graphicFrame macro="">
          <xdr:nvGraphicFramePr>
            <xdr:cNvPr id="28" name="Experience_Years"/>
            <xdr:cNvGraphicFramePr/>
          </xdr:nvGraphicFramePr>
          <xdr:xfrm>
            <a:off x="0" y="0"/>
            <a:ext cx="0" cy="0"/>
          </xdr:xfrm>
          <a:graphic>
            <a:graphicData uri="http://schemas.microsoft.com/office/drawing/2010/slicer">
              <sle:slicer xmlns:sle="http://schemas.microsoft.com/office/drawing/2010/slicer" name="Experience_Years"/>
            </a:graphicData>
          </a:graphic>
        </xdr:graphicFrame>
      </mc:Choice>
      <mc:Fallback>
        <xdr:sp macro="" textlink="">
          <xdr:nvSpPr>
            <xdr:cNvPr id="0" name=""/>
            <xdr:cNvSpPr>
              <a:spLocks noTextEdit="1"/>
            </xdr:cNvSpPr>
          </xdr:nvSpPr>
          <xdr:spPr>
            <a:xfrm>
              <a:off x="4833620" y="3114040"/>
              <a:ext cx="3624580" cy="87376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609600</xdr:colOff>
      <xdr:row>17</xdr:row>
      <xdr:rowOff>91441</xdr:rowOff>
    </xdr:from>
    <xdr:to>
      <xdr:col>16</xdr:col>
      <xdr:colOff>304800</xdr:colOff>
      <xdr:row>22</xdr:row>
      <xdr:rowOff>60960</xdr:rowOff>
    </xdr:to>
    <mc:AlternateContent xmlns:mc="http://schemas.openxmlformats.org/markup-compatibility/2006">
      <mc:Choice xmlns:a14="http://schemas.microsoft.com/office/drawing/2010/main" Requires="a14">
        <xdr:graphicFrame macro="">
          <xdr:nvGraphicFramePr>
            <xdr:cNvPr id="2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686800" y="3114041"/>
              <a:ext cx="2387600" cy="85851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4.616822453703" createdVersion="6" refreshedVersion="6" recordCount="50">
  <cacheSource type="worksheet">
    <worksheetSource name="Table1"/>
  </cacheSource>
  <cacheFields count="9">
    <cacheField name="EmployeeID" numFmtId="0">
      <sharedItems containsSemiMixedTypes="0" containsString="0" containsNumber="1" containsInteger="1" minValue="1" maxValue="50"/>
    </cacheField>
    <cacheField name="Name" numFmtId="0">
      <sharedItems/>
    </cacheField>
    <cacheField name="Department" numFmtId="0">
      <sharedItems count="5">
        <s v="Marketing"/>
        <s v="Operations"/>
        <s v="IT"/>
        <s v="Finance"/>
        <s v="HR"/>
      </sharedItems>
    </cacheField>
    <cacheField name="Experience_Years" numFmtId="0">
      <sharedItems containsSemiMixedTypes="0" containsString="0" containsNumber="1" containsInteger="1" minValue="1" maxValue="19" count="19">
        <n v="15"/>
        <n v="7"/>
        <n v="12"/>
        <n v="8"/>
        <n v="3"/>
        <n v="14"/>
        <n v="17"/>
        <n v="4"/>
        <n v="18"/>
        <n v="2"/>
        <n v="6"/>
        <n v="10"/>
        <n v="16"/>
        <n v="13"/>
        <n v="9"/>
        <n v="1"/>
        <n v="11"/>
        <n v="19"/>
        <n v="5"/>
      </sharedItems>
    </cacheField>
    <cacheField name="Education_Level" numFmtId="0">
      <sharedItems/>
    </cacheField>
    <cacheField name="Age" numFmtId="0">
      <sharedItems containsSemiMixedTypes="0" containsString="0" containsNumber="1" containsInteger="1" minValue="22" maxValue="57"/>
    </cacheField>
    <cacheField name="Gender" numFmtId="0">
      <sharedItems count="2">
        <s v="Female"/>
        <s v="Male"/>
      </sharedItems>
    </cacheField>
    <cacheField name="City" numFmtId="0">
      <sharedItems count="5">
        <s v="Delhi"/>
        <s v="Bangalore"/>
        <s v="Hyderabad"/>
        <s v="Mumbai"/>
        <s v="Chennai"/>
      </sharedItems>
    </cacheField>
    <cacheField name="Monthly_Salary" numFmtId="0">
      <sharedItems containsSemiMixedTypes="0" containsString="0" containsNumber="1" containsInteger="1" minValue="28420" maxValue="149123" count="50">
        <n v="111416"/>
        <n v="95271"/>
        <n v="69064"/>
        <n v="95091"/>
        <n v="132450"/>
        <n v="65818"/>
        <n v="70525"/>
        <n v="44830"/>
        <n v="42429"/>
        <n v="31893"/>
        <n v="141381"/>
        <n v="104909"/>
        <n v="72333"/>
        <n v="28436"/>
        <n v="99290"/>
        <n v="101213"/>
        <n v="30895"/>
        <n v="44738"/>
        <n v="55746"/>
        <n v="74377"/>
        <n v="73404"/>
        <n v="79045"/>
        <n v="122888"/>
        <n v="64790"/>
        <n v="132455"/>
        <n v="30600"/>
        <n v="119660"/>
        <n v="118179"/>
        <n v="65764"/>
        <n v="99543"/>
        <n v="70714"/>
        <n v="81835"/>
        <n v="127946"/>
        <n v="134616"/>
        <n v="130983"/>
        <n v="98744"/>
        <n v="81491"/>
        <n v="149123"/>
        <n v="43589"/>
        <n v="68484"/>
        <n v="107989"/>
        <n v="61212"/>
        <n v="68525"/>
        <n v="72202"/>
        <n v="57635"/>
        <n v="88208"/>
        <n v="58828"/>
        <n v="43711"/>
        <n v="28420"/>
        <n v="12175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n v="1"/>
    <s v="Employee_1"/>
    <x v="0"/>
    <x v="0"/>
    <s v="Master"/>
    <n v="53"/>
    <x v="0"/>
    <x v="0"/>
    <x v="0"/>
  </r>
  <r>
    <n v="2"/>
    <s v="Employee_2"/>
    <x v="1"/>
    <x v="1"/>
    <s v="Bachelor"/>
    <n v="25"/>
    <x v="0"/>
    <x v="1"/>
    <x v="1"/>
  </r>
  <r>
    <n v="3"/>
    <s v="Employee_3"/>
    <x v="2"/>
    <x v="2"/>
    <s v="High School"/>
    <n v="51"/>
    <x v="0"/>
    <x v="2"/>
    <x v="2"/>
  </r>
  <r>
    <n v="4"/>
    <s v="Employee_4"/>
    <x v="1"/>
    <x v="3"/>
    <s v="PhD"/>
    <n v="44"/>
    <x v="1"/>
    <x v="0"/>
    <x v="3"/>
  </r>
  <r>
    <n v="5"/>
    <s v="Employee_5"/>
    <x v="1"/>
    <x v="0"/>
    <s v="Master"/>
    <n v="36"/>
    <x v="0"/>
    <x v="0"/>
    <x v="4"/>
  </r>
  <r>
    <n v="6"/>
    <s v="Employee_6"/>
    <x v="3"/>
    <x v="4"/>
    <s v="High School"/>
    <n v="50"/>
    <x v="1"/>
    <x v="3"/>
    <x v="5"/>
  </r>
  <r>
    <n v="7"/>
    <s v="Employee_7"/>
    <x v="2"/>
    <x v="5"/>
    <s v="PhD"/>
    <n v="57"/>
    <x v="1"/>
    <x v="3"/>
    <x v="6"/>
  </r>
  <r>
    <n v="8"/>
    <s v="Employee_8"/>
    <x v="2"/>
    <x v="6"/>
    <s v="PhD"/>
    <n v="34"/>
    <x v="0"/>
    <x v="1"/>
    <x v="7"/>
  </r>
  <r>
    <n v="9"/>
    <s v="Employee_9"/>
    <x v="2"/>
    <x v="7"/>
    <s v="Bachelor"/>
    <n v="53"/>
    <x v="1"/>
    <x v="2"/>
    <x v="8"/>
  </r>
  <r>
    <n v="10"/>
    <s v="Employee_10"/>
    <x v="1"/>
    <x v="8"/>
    <s v="High School"/>
    <n v="28"/>
    <x v="1"/>
    <x v="3"/>
    <x v="9"/>
  </r>
  <r>
    <n v="11"/>
    <s v="Employee_11"/>
    <x v="0"/>
    <x v="3"/>
    <s v="PhD"/>
    <n v="43"/>
    <x v="1"/>
    <x v="0"/>
    <x v="10"/>
  </r>
  <r>
    <n v="12"/>
    <s v="Employee_12"/>
    <x v="2"/>
    <x v="7"/>
    <s v="Master"/>
    <n v="49"/>
    <x v="0"/>
    <x v="2"/>
    <x v="11"/>
  </r>
  <r>
    <n v="13"/>
    <s v="Employee_13"/>
    <x v="1"/>
    <x v="9"/>
    <s v="Master"/>
    <n v="23"/>
    <x v="0"/>
    <x v="2"/>
    <x v="12"/>
  </r>
  <r>
    <n v="14"/>
    <s v="Employee_14"/>
    <x v="3"/>
    <x v="10"/>
    <s v="Bachelor"/>
    <n v="27"/>
    <x v="1"/>
    <x v="0"/>
    <x v="13"/>
  </r>
  <r>
    <n v="15"/>
    <s v="Employee_15"/>
    <x v="0"/>
    <x v="11"/>
    <s v="PhD"/>
    <n v="49"/>
    <x v="0"/>
    <x v="3"/>
    <x v="14"/>
  </r>
  <r>
    <n v="16"/>
    <s v="Employee_16"/>
    <x v="3"/>
    <x v="7"/>
    <s v="High School"/>
    <n v="49"/>
    <x v="0"/>
    <x v="0"/>
    <x v="15"/>
  </r>
  <r>
    <n v="17"/>
    <s v="Employee_17"/>
    <x v="0"/>
    <x v="8"/>
    <s v="Master"/>
    <n v="41"/>
    <x v="0"/>
    <x v="2"/>
    <x v="16"/>
  </r>
  <r>
    <n v="18"/>
    <s v="Employee_18"/>
    <x v="1"/>
    <x v="2"/>
    <s v="PhD"/>
    <n v="51"/>
    <x v="0"/>
    <x v="4"/>
    <x v="17"/>
  </r>
  <r>
    <n v="19"/>
    <s v="Employee_19"/>
    <x v="4"/>
    <x v="9"/>
    <s v="PhD"/>
    <n v="32"/>
    <x v="1"/>
    <x v="4"/>
    <x v="18"/>
  </r>
  <r>
    <n v="20"/>
    <s v="Employee_20"/>
    <x v="0"/>
    <x v="11"/>
    <s v="Bachelor"/>
    <n v="49"/>
    <x v="1"/>
    <x v="1"/>
    <x v="19"/>
  </r>
  <r>
    <n v="21"/>
    <s v="Employee_21"/>
    <x v="3"/>
    <x v="7"/>
    <s v="Master"/>
    <n v="46"/>
    <x v="0"/>
    <x v="0"/>
    <x v="20"/>
  </r>
  <r>
    <n v="22"/>
    <s v="Employee_22"/>
    <x v="1"/>
    <x v="5"/>
    <s v="Master"/>
    <n v="54"/>
    <x v="0"/>
    <x v="0"/>
    <x v="21"/>
  </r>
  <r>
    <n v="23"/>
    <s v="Employee_23"/>
    <x v="0"/>
    <x v="12"/>
    <s v="High School"/>
    <n v="22"/>
    <x v="1"/>
    <x v="1"/>
    <x v="22"/>
  </r>
  <r>
    <n v="24"/>
    <s v="Employee_24"/>
    <x v="4"/>
    <x v="0"/>
    <s v="Master"/>
    <n v="48"/>
    <x v="1"/>
    <x v="1"/>
    <x v="23"/>
  </r>
  <r>
    <n v="25"/>
    <s v="Employee_25"/>
    <x v="4"/>
    <x v="3"/>
    <s v="High School"/>
    <n v="34"/>
    <x v="0"/>
    <x v="1"/>
    <x v="24"/>
  </r>
  <r>
    <n v="26"/>
    <s v="Employee_26"/>
    <x v="2"/>
    <x v="5"/>
    <s v="Master"/>
    <n v="24"/>
    <x v="1"/>
    <x v="2"/>
    <x v="25"/>
  </r>
  <r>
    <n v="27"/>
    <s v="Employee_27"/>
    <x v="2"/>
    <x v="3"/>
    <s v="Bachelor"/>
    <n v="27"/>
    <x v="0"/>
    <x v="0"/>
    <x v="26"/>
  </r>
  <r>
    <n v="28"/>
    <s v="Employee_28"/>
    <x v="3"/>
    <x v="12"/>
    <s v="Master"/>
    <n v="29"/>
    <x v="0"/>
    <x v="2"/>
    <x v="27"/>
  </r>
  <r>
    <n v="29"/>
    <s v="Employee_29"/>
    <x v="0"/>
    <x v="13"/>
    <s v="High School"/>
    <n v="48"/>
    <x v="1"/>
    <x v="1"/>
    <x v="28"/>
  </r>
  <r>
    <n v="30"/>
    <s v="Employee_30"/>
    <x v="0"/>
    <x v="8"/>
    <s v="High School"/>
    <n v="30"/>
    <x v="1"/>
    <x v="0"/>
    <x v="29"/>
  </r>
  <r>
    <n v="31"/>
    <s v="Employee_31"/>
    <x v="2"/>
    <x v="0"/>
    <s v="Bachelor"/>
    <n v="54"/>
    <x v="0"/>
    <x v="2"/>
    <x v="30"/>
  </r>
  <r>
    <n v="32"/>
    <s v="Employee_32"/>
    <x v="0"/>
    <x v="13"/>
    <s v="Master"/>
    <n v="45"/>
    <x v="0"/>
    <x v="2"/>
    <x v="31"/>
  </r>
  <r>
    <n v="33"/>
    <s v="Employee_33"/>
    <x v="0"/>
    <x v="14"/>
    <s v="Master"/>
    <n v="36"/>
    <x v="1"/>
    <x v="1"/>
    <x v="32"/>
  </r>
  <r>
    <n v="34"/>
    <s v="Employee_34"/>
    <x v="4"/>
    <x v="0"/>
    <s v="Bachelor"/>
    <n v="53"/>
    <x v="0"/>
    <x v="0"/>
    <x v="33"/>
  </r>
  <r>
    <n v="35"/>
    <s v="Employee_35"/>
    <x v="2"/>
    <x v="13"/>
    <s v="Master"/>
    <n v="53"/>
    <x v="1"/>
    <x v="1"/>
    <x v="34"/>
  </r>
  <r>
    <n v="36"/>
    <s v="Employee_36"/>
    <x v="1"/>
    <x v="15"/>
    <s v="Master"/>
    <n v="45"/>
    <x v="0"/>
    <x v="0"/>
    <x v="35"/>
  </r>
  <r>
    <n v="37"/>
    <s v="Employee_37"/>
    <x v="2"/>
    <x v="1"/>
    <s v="High School"/>
    <n v="33"/>
    <x v="1"/>
    <x v="4"/>
    <x v="36"/>
  </r>
  <r>
    <n v="38"/>
    <s v="Employee_38"/>
    <x v="1"/>
    <x v="14"/>
    <s v="Master"/>
    <n v="23"/>
    <x v="1"/>
    <x v="3"/>
    <x v="37"/>
  </r>
  <r>
    <n v="39"/>
    <s v="Employee_39"/>
    <x v="4"/>
    <x v="15"/>
    <s v="Master"/>
    <n v="24"/>
    <x v="1"/>
    <x v="3"/>
    <x v="38"/>
  </r>
  <r>
    <n v="40"/>
    <s v="Employee_40"/>
    <x v="3"/>
    <x v="2"/>
    <s v="Bachelor"/>
    <n v="38"/>
    <x v="0"/>
    <x v="3"/>
    <x v="39"/>
  </r>
  <r>
    <n v="41"/>
    <s v="Employee_41"/>
    <x v="0"/>
    <x v="3"/>
    <s v="Bachelor"/>
    <n v="23"/>
    <x v="0"/>
    <x v="1"/>
    <x v="40"/>
  </r>
  <r>
    <n v="42"/>
    <s v="Employee_42"/>
    <x v="4"/>
    <x v="16"/>
    <s v="PhD"/>
    <n v="23"/>
    <x v="1"/>
    <x v="4"/>
    <x v="41"/>
  </r>
  <r>
    <n v="43"/>
    <s v="Employee_43"/>
    <x v="0"/>
    <x v="17"/>
    <s v="High School"/>
    <n v="49"/>
    <x v="0"/>
    <x v="0"/>
    <x v="42"/>
  </r>
  <r>
    <n v="44"/>
    <s v="Employee_44"/>
    <x v="3"/>
    <x v="6"/>
    <s v="Master"/>
    <n v="44"/>
    <x v="1"/>
    <x v="2"/>
    <x v="43"/>
  </r>
  <r>
    <n v="45"/>
    <s v="Employee_45"/>
    <x v="3"/>
    <x v="3"/>
    <s v="Master"/>
    <n v="53"/>
    <x v="1"/>
    <x v="0"/>
    <x v="44"/>
  </r>
  <r>
    <n v="46"/>
    <s v="Employee_46"/>
    <x v="4"/>
    <x v="4"/>
    <s v="PhD"/>
    <n v="54"/>
    <x v="0"/>
    <x v="2"/>
    <x v="45"/>
  </r>
  <r>
    <n v="47"/>
    <s v="Employee_47"/>
    <x v="3"/>
    <x v="4"/>
    <s v="Master"/>
    <n v="22"/>
    <x v="0"/>
    <x v="0"/>
    <x v="46"/>
  </r>
  <r>
    <n v="48"/>
    <s v="Employee_48"/>
    <x v="1"/>
    <x v="15"/>
    <s v="High School"/>
    <n v="40"/>
    <x v="1"/>
    <x v="4"/>
    <x v="47"/>
  </r>
  <r>
    <n v="49"/>
    <s v="Employee_49"/>
    <x v="3"/>
    <x v="18"/>
    <s v="PhD"/>
    <n v="23"/>
    <x v="0"/>
    <x v="2"/>
    <x v="48"/>
  </r>
  <r>
    <n v="50"/>
    <s v="Employee_50"/>
    <x v="0"/>
    <x v="11"/>
    <s v="High School"/>
    <n v="47"/>
    <x v="0"/>
    <x v="1"/>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8"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4">
  <location ref="I3:J24" firstHeaderRow="2" firstDataRow="2" firstDataCol="1"/>
  <pivotFields count="9">
    <pivotField compact="0" outline="0" subtotalTop="0" showAll="0" includeNewItemsInFilter="1"/>
    <pivotField compact="0" outline="0" subtotalTop="0" showAll="0" includeNewItemsInFilter="1"/>
    <pivotField compact="0" outline="0" subtotalTop="0" showAll="0" includeNewItemsInFilter="1">
      <items count="6">
        <item x="3"/>
        <item x="4"/>
        <item x="2"/>
        <item x="0"/>
        <item x="1"/>
        <item t="default"/>
      </items>
    </pivotField>
    <pivotField axis="axisRow" compact="0" outline="0" subtotalTop="0" showAll="0" includeNewItemsInFilter="1">
      <items count="20">
        <item x="15"/>
        <item x="9"/>
        <item x="4"/>
        <item x="7"/>
        <item x="18"/>
        <item x="10"/>
        <item x="1"/>
        <item x="3"/>
        <item x="14"/>
        <item x="11"/>
        <item x="16"/>
        <item x="2"/>
        <item x="13"/>
        <item x="5"/>
        <item x="0"/>
        <item x="12"/>
        <item x="6"/>
        <item x="8"/>
        <item x="17"/>
        <item t="default"/>
      </items>
    </pivotField>
    <pivotField compact="0" outline="0" subtotalTop="0" showAll="0" includeNewItemsInFilter="1"/>
    <pivotField compact="0" outline="0" subtotalTop="0" showAll="0" includeNewItemsInFilter="1"/>
    <pivotField compact="0" outline="0" subtotalTop="0" showAll="0" includeNewItemsInFilter="1">
      <items count="3">
        <item x="0"/>
        <item x="1"/>
        <item t="default"/>
      </items>
    </pivotField>
    <pivotField compact="0" outline="0" subtotalTop="0" showAll="0" includeNewItemsInFilter="1">
      <items count="6">
        <item x="1"/>
        <item x="4"/>
        <item x="0"/>
        <item x="2"/>
        <item x="3"/>
        <item t="default"/>
      </items>
    </pivotField>
    <pivotField dataField="1" compact="0" outline="0" subtotalTop="0" showAll="0" includeNewItemsInFilter="1"/>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Monthly_Salary"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2.xml><?xml version="1.0" encoding="utf-8"?>
<pivotTableDefinition xmlns="http://schemas.openxmlformats.org/spreadsheetml/2006/main" name="PivotTable13" cacheId="8"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3">
  <location ref="E3:G17" firstHeaderRow="2" firstDataRow="2" firstDataCol="2"/>
  <pivotFields count="9">
    <pivotField compact="0" outline="0" subtotalTop="0" showAll="0" includeNewItemsInFilter="1"/>
    <pivotField compact="0" outline="0" subtotalTop="0" showAll="0" includeNewItemsInFilter="1"/>
    <pivotField axis="axisRow" compact="0" outline="0" subtotalTop="0" showAll="0" includeNewItemsInFilter="1">
      <items count="6">
        <item x="3"/>
        <item x="4"/>
        <item x="2"/>
        <item x="0"/>
        <item x="1"/>
        <item t="default"/>
      </items>
    </pivotField>
    <pivotField compact="0" outline="0" subtotalTop="0" showAll="0" includeNewItemsInFilter="1">
      <items count="20">
        <item x="15"/>
        <item x="9"/>
        <item x="4"/>
        <item x="7"/>
        <item x="18"/>
        <item x="10"/>
        <item x="1"/>
        <item x="3"/>
        <item x="14"/>
        <item x="11"/>
        <item x="16"/>
        <item x="2"/>
        <item x="13"/>
        <item x="5"/>
        <item x="0"/>
        <item x="12"/>
        <item x="6"/>
        <item x="8"/>
        <item x="17"/>
        <item t="default"/>
      </items>
    </pivotField>
    <pivotField compact="0" outline="0" subtotalTop="0" showAll="0" includeNewItemsInFilter="1"/>
    <pivotField compact="0" outline="0" subtotalTop="0" showAll="0" includeNewItemsInFilter="1"/>
    <pivotField axis="axisRow" compact="0" outline="0" subtotalTop="0" showAll="0" includeNewItemsInFilter="1">
      <items count="3">
        <item x="0"/>
        <item x="1"/>
        <item t="default"/>
      </items>
    </pivotField>
    <pivotField compact="0" outline="0" subtotalTop="0" showAll="0" includeNewItemsInFilter="1">
      <items count="6">
        <item x="1"/>
        <item x="4"/>
        <item x="0"/>
        <item x="2"/>
        <item x="3"/>
        <item t="default"/>
      </items>
    </pivotField>
    <pivotField dataField="1" compact="0" outline="0" subtotalTop="0" showAll="0" includeNewItemsInFilter="1">
      <items count="51">
        <item x="48"/>
        <item x="13"/>
        <item x="25"/>
        <item x="16"/>
        <item x="9"/>
        <item x="8"/>
        <item x="38"/>
        <item x="47"/>
        <item x="17"/>
        <item x="7"/>
        <item x="18"/>
        <item x="44"/>
        <item x="46"/>
        <item x="41"/>
        <item x="23"/>
        <item x="28"/>
        <item x="5"/>
        <item x="39"/>
        <item x="42"/>
        <item x="2"/>
        <item x="6"/>
        <item x="30"/>
        <item x="43"/>
        <item x="12"/>
        <item x="20"/>
        <item x="19"/>
        <item x="21"/>
        <item x="36"/>
        <item x="31"/>
        <item x="45"/>
        <item x="3"/>
        <item x="1"/>
        <item x="35"/>
        <item x="14"/>
        <item x="29"/>
        <item x="15"/>
        <item x="11"/>
        <item x="40"/>
        <item x="0"/>
        <item x="27"/>
        <item x="26"/>
        <item x="49"/>
        <item x="22"/>
        <item x="32"/>
        <item x="34"/>
        <item x="4"/>
        <item x="24"/>
        <item x="33"/>
        <item x="10"/>
        <item x="37"/>
        <item t="default"/>
      </items>
    </pivotField>
  </pivotFields>
  <rowFields count="2">
    <field x="6"/>
    <field x="2"/>
  </rowFields>
  <rowItems count="13">
    <i>
      <x/>
      <x/>
    </i>
    <i r="1">
      <x v="1"/>
    </i>
    <i r="1">
      <x v="2"/>
    </i>
    <i r="1">
      <x v="3"/>
    </i>
    <i r="1">
      <x v="4"/>
    </i>
    <i t="default">
      <x/>
    </i>
    <i>
      <x v="1"/>
      <x/>
    </i>
    <i r="1">
      <x v="1"/>
    </i>
    <i r="1">
      <x v="2"/>
    </i>
    <i r="1">
      <x v="3"/>
    </i>
    <i r="1">
      <x v="4"/>
    </i>
    <i t="default">
      <x v="1"/>
    </i>
    <i t="grand">
      <x/>
    </i>
  </rowItems>
  <colItems count="1">
    <i/>
  </colItems>
  <dataFields count="1">
    <dataField name="Sum of Monthly_Salary"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3.xml><?xml version="1.0" encoding="utf-8"?>
<pivotTableDefinition xmlns="http://schemas.openxmlformats.org/spreadsheetml/2006/main" name="PivotTable10" cacheId="8"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3">
  <location ref="A3:B10" firstHeaderRow="2" firstDataRow="2" firstDataCol="1"/>
  <pivotFields count="9">
    <pivotField compact="0" outline="0" subtotalTop="0" showAll="0" includeNewItemsInFilter="1"/>
    <pivotField compact="0" outline="0" subtotalTop="0" showAll="0" includeNewItemsInFilter="1"/>
    <pivotField axis="axisRow" compact="0" outline="0" subtotalTop="0" showAll="0" includeNewItemsInFilter="1">
      <items count="6">
        <item x="3"/>
        <item x="4"/>
        <item x="2"/>
        <item x="0"/>
        <item x="1"/>
        <item t="default"/>
      </items>
    </pivotField>
    <pivotField dataField="1" compact="0" outline="0" subtotalTop="0" showAll="0" includeNewItemsInFilter="1">
      <items count="20">
        <item x="15"/>
        <item x="9"/>
        <item x="4"/>
        <item x="7"/>
        <item x="18"/>
        <item x="10"/>
        <item x="1"/>
        <item x="3"/>
        <item x="14"/>
        <item x="11"/>
        <item x="16"/>
        <item x="2"/>
        <item x="13"/>
        <item x="5"/>
        <item x="0"/>
        <item x="12"/>
        <item x="6"/>
        <item x="8"/>
        <item x="17"/>
        <item t="default"/>
      </items>
    </pivotField>
    <pivotField compact="0" outline="0" subtotalTop="0" showAll="0" includeNewItemsInFilter="1"/>
    <pivotField compact="0" outline="0" subtotalTop="0" showAll="0" includeNewItemsInFilter="1"/>
    <pivotField compact="0" outline="0" subtotalTop="0" showAll="0" includeNewItemsInFilter="1">
      <items count="3">
        <item x="0"/>
        <item x="1"/>
        <item t="default"/>
      </items>
    </pivotField>
    <pivotField compact="0" outline="0" subtotalTop="0" showAll="0" includeNewItemsInFilter="1">
      <items count="6">
        <item x="1"/>
        <item x="4"/>
        <item x="0"/>
        <item x="2"/>
        <item x="3"/>
        <item t="default"/>
      </items>
    </pivotField>
    <pivotField compact="0" outline="0" subtotalTop="0" showAll="0" includeNewItemsInFilter="1"/>
  </pivotFields>
  <rowFields count="1">
    <field x="2"/>
  </rowFields>
  <rowItems count="6">
    <i>
      <x/>
    </i>
    <i>
      <x v="1"/>
    </i>
    <i>
      <x v="2"/>
    </i>
    <i>
      <x v="3"/>
    </i>
    <i>
      <x v="4"/>
    </i>
    <i t="grand">
      <x/>
    </i>
  </rowItems>
  <colItems count="1">
    <i/>
  </colItems>
  <dataFields count="1">
    <dataField name="Sum of Experience_Years" fld="3"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15" cacheId="8"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3">
  <location ref="L3:O10" firstHeaderRow="1" firstDataRow="2" firstDataCol="1"/>
  <pivotFields count="9">
    <pivotField compact="0" outline="0" subtotalTop="0" showAll="0" includeNewItemsInFilter="1"/>
    <pivotField compact="0" outline="0" subtotalTop="0" showAll="0" includeNewItemsInFilter="1"/>
    <pivotField compact="0" outline="0" subtotalTop="0" showAll="0" includeNewItemsInFilter="1">
      <items count="6">
        <item x="3"/>
        <item x="4"/>
        <item x="2"/>
        <item x="0"/>
        <item x="1"/>
        <item t="default"/>
      </items>
    </pivotField>
    <pivotField compact="0" outline="0" subtotalTop="0" showAll="0" includeNewItemsInFilter="1">
      <items count="20">
        <item x="15"/>
        <item x="9"/>
        <item x="4"/>
        <item x="7"/>
        <item x="18"/>
        <item x="10"/>
        <item x="1"/>
        <item x="3"/>
        <item x="14"/>
        <item x="11"/>
        <item x="16"/>
        <item x="2"/>
        <item x="13"/>
        <item x="5"/>
        <item x="0"/>
        <item x="12"/>
        <item x="6"/>
        <item x="8"/>
        <item x="17"/>
        <item t="default"/>
      </items>
    </pivotField>
    <pivotField compact="0" outline="0" subtotalTop="0" showAll="0" includeNewItemsInFilter="1"/>
    <pivotField compact="0" outline="0" subtotalTop="0" showAll="0" includeNewItemsInFilter="1"/>
    <pivotField axis="axisCol" compact="0" outline="0" subtotalTop="0" showAll="0" includeNewItemsInFilter="1">
      <items count="3">
        <item x="0"/>
        <item x="1"/>
        <item t="default"/>
      </items>
    </pivotField>
    <pivotField axis="axisRow" dataField="1" compact="0" outline="0" subtotalTop="0" showAll="0" includeNewItemsInFilter="1">
      <items count="6">
        <item x="1"/>
        <item x="4"/>
        <item x="0"/>
        <item x="2"/>
        <item x="3"/>
        <item t="default"/>
      </items>
    </pivotField>
    <pivotField compact="0" outline="0" subtotalTop="0" showAll="0" includeNewItemsInFilter="1"/>
  </pivotFields>
  <rowFields count="1">
    <field x="7"/>
  </rowFields>
  <rowItems count="6">
    <i>
      <x/>
    </i>
    <i>
      <x v="1"/>
    </i>
    <i>
      <x v="2"/>
    </i>
    <i>
      <x v="3"/>
    </i>
    <i>
      <x v="4"/>
    </i>
    <i t="grand">
      <x/>
    </i>
  </rowItems>
  <colFields count="1">
    <field x="6"/>
  </colFields>
  <colItems count="3">
    <i>
      <x/>
    </i>
    <i>
      <x v="1"/>
    </i>
    <i t="grand">
      <x/>
    </i>
  </colItems>
  <dataFields count="1">
    <dataField name="Count of City" fld="7" subtotal="count" baseField="0" baseItem="0"/>
  </dataFields>
  <chartFormats count="36">
    <chartFormat chart="0" format="0" series="1">
      <pivotArea type="data" outline="0" fieldPosition="0">
        <references count="2">
          <reference field="4294967294" count="1" selected="0">
            <x v="0"/>
          </reference>
          <reference field="6" count="1" selected="0">
            <x v="0"/>
          </reference>
        </references>
      </pivotArea>
    </chartFormat>
    <chartFormat chart="0" format="1">
      <pivotArea type="data" outline="0" fieldPosition="0">
        <references count="3">
          <reference field="4294967294" count="1" selected="0">
            <x v="0"/>
          </reference>
          <reference field="6" count="1" selected="0">
            <x v="0"/>
          </reference>
          <reference field="7" count="1" selected="0">
            <x v="0"/>
          </reference>
        </references>
      </pivotArea>
    </chartFormat>
    <chartFormat chart="0" format="2">
      <pivotArea type="data" outline="0" fieldPosition="0">
        <references count="3">
          <reference field="4294967294" count="1" selected="0">
            <x v="0"/>
          </reference>
          <reference field="6" count="1" selected="0">
            <x v="0"/>
          </reference>
          <reference field="7" count="1" selected="0">
            <x v="1"/>
          </reference>
        </references>
      </pivotArea>
    </chartFormat>
    <chartFormat chart="0" format="3">
      <pivotArea type="data" outline="0" fieldPosition="0">
        <references count="3">
          <reference field="4294967294" count="1" selected="0">
            <x v="0"/>
          </reference>
          <reference field="6" count="1" selected="0">
            <x v="0"/>
          </reference>
          <reference field="7" count="1" selected="0">
            <x v="2"/>
          </reference>
        </references>
      </pivotArea>
    </chartFormat>
    <chartFormat chart="0" format="4">
      <pivotArea type="data" outline="0" fieldPosition="0">
        <references count="3">
          <reference field="4294967294" count="1" selected="0">
            <x v="0"/>
          </reference>
          <reference field="6" count="1" selected="0">
            <x v="0"/>
          </reference>
          <reference field="7" count="1" selected="0">
            <x v="3"/>
          </reference>
        </references>
      </pivotArea>
    </chartFormat>
    <chartFormat chart="0" format="5">
      <pivotArea type="data" outline="0" fieldPosition="0">
        <references count="3">
          <reference field="4294967294" count="1" selected="0">
            <x v="0"/>
          </reference>
          <reference field="6" count="1" selected="0">
            <x v="0"/>
          </reference>
          <reference field="7" count="1" selected="0">
            <x v="4"/>
          </reference>
        </references>
      </pivotArea>
    </chartFormat>
    <chartFormat chart="0" format="6" series="1">
      <pivotArea type="data" outline="0" fieldPosition="0">
        <references count="2">
          <reference field="4294967294" count="1" selected="0">
            <x v="0"/>
          </reference>
          <reference field="6" count="1" selected="0">
            <x v="1"/>
          </reference>
        </references>
      </pivotArea>
    </chartFormat>
    <chartFormat chart="0" format="7">
      <pivotArea type="data" outline="0" fieldPosition="0">
        <references count="3">
          <reference field="4294967294" count="1" selected="0">
            <x v="0"/>
          </reference>
          <reference field="6" count="1" selected="0">
            <x v="1"/>
          </reference>
          <reference field="7" count="1" selected="0">
            <x v="0"/>
          </reference>
        </references>
      </pivotArea>
    </chartFormat>
    <chartFormat chart="0" format="8">
      <pivotArea type="data" outline="0" fieldPosition="0">
        <references count="3">
          <reference field="4294967294" count="1" selected="0">
            <x v="0"/>
          </reference>
          <reference field="6" count="1" selected="0">
            <x v="1"/>
          </reference>
          <reference field="7" count="1" selected="0">
            <x v="1"/>
          </reference>
        </references>
      </pivotArea>
    </chartFormat>
    <chartFormat chart="0" format="9">
      <pivotArea type="data" outline="0" fieldPosition="0">
        <references count="3">
          <reference field="4294967294" count="1" selected="0">
            <x v="0"/>
          </reference>
          <reference field="6" count="1" selected="0">
            <x v="1"/>
          </reference>
          <reference field="7" count="1" selected="0">
            <x v="2"/>
          </reference>
        </references>
      </pivotArea>
    </chartFormat>
    <chartFormat chart="0" format="10">
      <pivotArea type="data" outline="0" fieldPosition="0">
        <references count="3">
          <reference field="4294967294" count="1" selected="0">
            <x v="0"/>
          </reference>
          <reference field="6" count="1" selected="0">
            <x v="1"/>
          </reference>
          <reference field="7" count="1" selected="0">
            <x v="3"/>
          </reference>
        </references>
      </pivotArea>
    </chartFormat>
    <chartFormat chart="0" format="11">
      <pivotArea type="data" outline="0" fieldPosition="0">
        <references count="3">
          <reference field="4294967294" count="1" selected="0">
            <x v="0"/>
          </reference>
          <reference field="6" count="1" selected="0">
            <x v="1"/>
          </reference>
          <reference field="7" count="1" selected="0">
            <x v="4"/>
          </reference>
        </references>
      </pivotArea>
    </chartFormat>
    <chartFormat chart="1" format="12" series="1">
      <pivotArea type="data" outline="0" fieldPosition="0">
        <references count="2">
          <reference field="4294967294" count="1" selected="0">
            <x v="0"/>
          </reference>
          <reference field="6" count="1" selected="0">
            <x v="0"/>
          </reference>
        </references>
      </pivotArea>
    </chartFormat>
    <chartFormat chart="1" format="13">
      <pivotArea type="data" outline="0" fieldPosition="0">
        <references count="3">
          <reference field="4294967294" count="1" selected="0">
            <x v="0"/>
          </reference>
          <reference field="6" count="1" selected="0">
            <x v="0"/>
          </reference>
          <reference field="7" count="1" selected="0">
            <x v="0"/>
          </reference>
        </references>
      </pivotArea>
    </chartFormat>
    <chartFormat chart="1" format="14">
      <pivotArea type="data" outline="0" fieldPosition="0">
        <references count="3">
          <reference field="4294967294" count="1" selected="0">
            <x v="0"/>
          </reference>
          <reference field="6" count="1" selected="0">
            <x v="0"/>
          </reference>
          <reference field="7" count="1" selected="0">
            <x v="1"/>
          </reference>
        </references>
      </pivotArea>
    </chartFormat>
    <chartFormat chart="1" format="15">
      <pivotArea type="data" outline="0" fieldPosition="0">
        <references count="3">
          <reference field="4294967294" count="1" selected="0">
            <x v="0"/>
          </reference>
          <reference field="6" count="1" selected="0">
            <x v="0"/>
          </reference>
          <reference field="7" count="1" selected="0">
            <x v="2"/>
          </reference>
        </references>
      </pivotArea>
    </chartFormat>
    <chartFormat chart="1" format="16">
      <pivotArea type="data" outline="0" fieldPosition="0">
        <references count="3">
          <reference field="4294967294" count="1" selected="0">
            <x v="0"/>
          </reference>
          <reference field="6" count="1" selected="0">
            <x v="0"/>
          </reference>
          <reference field="7" count="1" selected="0">
            <x v="3"/>
          </reference>
        </references>
      </pivotArea>
    </chartFormat>
    <chartFormat chart="1" format="17">
      <pivotArea type="data" outline="0" fieldPosition="0">
        <references count="3">
          <reference field="4294967294" count="1" selected="0">
            <x v="0"/>
          </reference>
          <reference field="6" count="1" selected="0">
            <x v="0"/>
          </reference>
          <reference field="7" count="1" selected="0">
            <x v="4"/>
          </reference>
        </references>
      </pivotArea>
    </chartFormat>
    <chartFormat chart="1" format="18" series="1">
      <pivotArea type="data" outline="0" fieldPosition="0">
        <references count="2">
          <reference field="4294967294" count="1" selected="0">
            <x v="0"/>
          </reference>
          <reference field="6" count="1" selected="0">
            <x v="1"/>
          </reference>
        </references>
      </pivotArea>
    </chartFormat>
    <chartFormat chart="1" format="19">
      <pivotArea type="data" outline="0" fieldPosition="0">
        <references count="3">
          <reference field="4294967294" count="1" selected="0">
            <x v="0"/>
          </reference>
          <reference field="6" count="1" selected="0">
            <x v="1"/>
          </reference>
          <reference field="7" count="1" selected="0">
            <x v="0"/>
          </reference>
        </references>
      </pivotArea>
    </chartFormat>
    <chartFormat chart="1" format="20">
      <pivotArea type="data" outline="0" fieldPosition="0">
        <references count="3">
          <reference field="4294967294" count="1" selected="0">
            <x v="0"/>
          </reference>
          <reference field="6" count="1" selected="0">
            <x v="1"/>
          </reference>
          <reference field="7" count="1" selected="0">
            <x v="1"/>
          </reference>
        </references>
      </pivotArea>
    </chartFormat>
    <chartFormat chart="1" format="21">
      <pivotArea type="data" outline="0" fieldPosition="0">
        <references count="3">
          <reference field="4294967294" count="1" selected="0">
            <x v="0"/>
          </reference>
          <reference field="6" count="1" selected="0">
            <x v="1"/>
          </reference>
          <reference field="7" count="1" selected="0">
            <x v="2"/>
          </reference>
        </references>
      </pivotArea>
    </chartFormat>
    <chartFormat chart="1" format="22">
      <pivotArea type="data" outline="0" fieldPosition="0">
        <references count="3">
          <reference field="4294967294" count="1" selected="0">
            <x v="0"/>
          </reference>
          <reference field="6" count="1" selected="0">
            <x v="1"/>
          </reference>
          <reference field="7" count="1" selected="0">
            <x v="3"/>
          </reference>
        </references>
      </pivotArea>
    </chartFormat>
    <chartFormat chart="1" format="23">
      <pivotArea type="data" outline="0" fieldPosition="0">
        <references count="3">
          <reference field="4294967294" count="1" selected="0">
            <x v="0"/>
          </reference>
          <reference field="6" count="1" selected="0">
            <x v="1"/>
          </reference>
          <reference field="7" count="1" selected="0">
            <x v="4"/>
          </reference>
        </references>
      </pivotArea>
    </chartFormat>
    <chartFormat chart="2" format="24" series="1">
      <pivotArea type="data" outline="0" fieldPosition="0">
        <references count="2">
          <reference field="4294967294" count="1" selected="0">
            <x v="0"/>
          </reference>
          <reference field="6" count="1" selected="0">
            <x v="0"/>
          </reference>
        </references>
      </pivotArea>
    </chartFormat>
    <chartFormat chart="2" format="25">
      <pivotArea type="data" outline="0" fieldPosition="0">
        <references count="3">
          <reference field="4294967294" count="1" selected="0">
            <x v="0"/>
          </reference>
          <reference field="6" count="1" selected="0">
            <x v="0"/>
          </reference>
          <reference field="7" count="1" selected="0">
            <x v="0"/>
          </reference>
        </references>
      </pivotArea>
    </chartFormat>
    <chartFormat chart="2" format="26">
      <pivotArea type="data" outline="0" fieldPosition="0">
        <references count="3">
          <reference field="4294967294" count="1" selected="0">
            <x v="0"/>
          </reference>
          <reference field="6" count="1" selected="0">
            <x v="0"/>
          </reference>
          <reference field="7" count="1" selected="0">
            <x v="1"/>
          </reference>
        </references>
      </pivotArea>
    </chartFormat>
    <chartFormat chart="2" format="27">
      <pivotArea type="data" outline="0" fieldPosition="0">
        <references count="3">
          <reference field="4294967294" count="1" selected="0">
            <x v="0"/>
          </reference>
          <reference field="6" count="1" selected="0">
            <x v="0"/>
          </reference>
          <reference field="7" count="1" selected="0">
            <x v="2"/>
          </reference>
        </references>
      </pivotArea>
    </chartFormat>
    <chartFormat chart="2" format="28">
      <pivotArea type="data" outline="0" fieldPosition="0">
        <references count="3">
          <reference field="4294967294" count="1" selected="0">
            <x v="0"/>
          </reference>
          <reference field="6" count="1" selected="0">
            <x v="0"/>
          </reference>
          <reference field="7" count="1" selected="0">
            <x v="3"/>
          </reference>
        </references>
      </pivotArea>
    </chartFormat>
    <chartFormat chart="2" format="29">
      <pivotArea type="data" outline="0" fieldPosition="0">
        <references count="3">
          <reference field="4294967294" count="1" selected="0">
            <x v="0"/>
          </reference>
          <reference field="6" count="1" selected="0">
            <x v="0"/>
          </reference>
          <reference field="7" count="1" selected="0">
            <x v="4"/>
          </reference>
        </references>
      </pivotArea>
    </chartFormat>
    <chartFormat chart="2" format="30" series="1">
      <pivotArea type="data" outline="0" fieldPosition="0">
        <references count="2">
          <reference field="4294967294" count="1" selected="0">
            <x v="0"/>
          </reference>
          <reference field="6" count="1" selected="0">
            <x v="1"/>
          </reference>
        </references>
      </pivotArea>
    </chartFormat>
    <chartFormat chart="2" format="31">
      <pivotArea type="data" outline="0" fieldPosition="0">
        <references count="3">
          <reference field="4294967294" count="1" selected="0">
            <x v="0"/>
          </reference>
          <reference field="6" count="1" selected="0">
            <x v="1"/>
          </reference>
          <reference field="7" count="1" selected="0">
            <x v="0"/>
          </reference>
        </references>
      </pivotArea>
    </chartFormat>
    <chartFormat chart="2" format="32">
      <pivotArea type="data" outline="0" fieldPosition="0">
        <references count="3">
          <reference field="4294967294" count="1" selected="0">
            <x v="0"/>
          </reference>
          <reference field="6" count="1" selected="0">
            <x v="1"/>
          </reference>
          <reference field="7" count="1" selected="0">
            <x v="1"/>
          </reference>
        </references>
      </pivotArea>
    </chartFormat>
    <chartFormat chart="2" format="33">
      <pivotArea type="data" outline="0" fieldPosition="0">
        <references count="3">
          <reference field="4294967294" count="1" selected="0">
            <x v="0"/>
          </reference>
          <reference field="6" count="1" selected="0">
            <x v="1"/>
          </reference>
          <reference field="7" count="1" selected="0">
            <x v="2"/>
          </reference>
        </references>
      </pivotArea>
    </chartFormat>
    <chartFormat chart="2" format="34">
      <pivotArea type="data" outline="0" fieldPosition="0">
        <references count="3">
          <reference field="4294967294" count="1" selected="0">
            <x v="0"/>
          </reference>
          <reference field="6" count="1" selected="0">
            <x v="1"/>
          </reference>
          <reference field="7" count="1" selected="0">
            <x v="3"/>
          </reference>
        </references>
      </pivotArea>
    </chartFormat>
    <chartFormat chart="2" format="35">
      <pivotArea type="data" outline="0" fieldPosition="0">
        <references count="3">
          <reference field="4294967294" count="1" selected="0">
            <x v="0"/>
          </reference>
          <reference field="6" count="1" selected="0">
            <x v="1"/>
          </reference>
          <reference field="7" count="1" selected="0">
            <x v="4"/>
          </reference>
        </references>
      </pivotArea>
    </chartFormat>
  </chart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10"/>
    <pivotTable tabId="6" name="PivotTable13"/>
    <pivotTable tabId="6" name="PivotTable14"/>
    <pivotTable tabId="6" name="PivotTable15"/>
  </pivotTables>
  <data>
    <tabular pivotCacheId="1" showMissing="0" crossFilter="showItemsWithNoData">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13"/>
    <pivotTable tabId="6" name="PivotTable10"/>
    <pivotTable tabId="6" name="PivotTable14"/>
    <pivotTable tabId="6" name="PivotTable15"/>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xperience_Years" sourceName="Experience_Years">
  <pivotTables>
    <pivotTable tabId="6" name="PivotTable14"/>
    <pivotTable tabId="6" name="PivotTable10"/>
    <pivotTable tabId="6" name="PivotTable13"/>
    <pivotTable tabId="6" name="PivotTable15"/>
  </pivotTables>
  <data>
    <tabular pivotCacheId="1" showMissing="0" crossFilter="showItemsWithNoData">
      <items count="19">
        <i x="15" s="1"/>
        <i x="9" s="1"/>
        <i x="4" s="1"/>
        <i x="7" s="1"/>
        <i x="18" s="1"/>
        <i x="10" s="1"/>
        <i x="1" s="1"/>
        <i x="3" s="1"/>
        <i x="14" s="1"/>
        <i x="11" s="1"/>
        <i x="16" s="1"/>
        <i x="2" s="1"/>
        <i x="13" s="1"/>
        <i x="5" s="1"/>
        <i x="0" s="1"/>
        <i x="12" s="1"/>
        <i x="6" s="1"/>
        <i x="8"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15"/>
    <pivotTable tabId="6" name="PivotTable10"/>
    <pivotTable tabId="6" name="PivotTable13"/>
    <pivotTable tabId="6" name="PivotTable14"/>
  </pivotTables>
  <data>
    <tabular pivotCacheId="1" showMissing="0" crossFilter="showItemsWithNoData">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columnCount="3" rowHeight="234950"/>
  <slicer name="Gender" cache="Slicer_Gender" caption="Gender" columnCount="2" rowHeight="234950"/>
  <slicer name="Experience_Years" cache="Slicer_Experience_Years" caption="Experience_Years" columnCount="10" rowHeight="234950"/>
  <slicer name="City" cache="Slicer_City" caption="City" columnCount="3" rowHeight="234950"/>
</slicers>
</file>

<file path=xl/tables/table1.xml><?xml version="1.0" encoding="utf-8"?>
<table xmlns="http://schemas.openxmlformats.org/spreadsheetml/2006/main" id="1" name="Table1" displayName="Table1" ref="A1:I51" totalsRowShown="0">
  <autoFilter ref="A1:I51"/>
  <tableColumns count="9">
    <tableColumn id="1" name="EmployeeID"/>
    <tableColumn id="2" name="Name"/>
    <tableColumn id="3" name="Department"/>
    <tableColumn id="4" name="Experience_Years"/>
    <tableColumn id="5" name="Education_Level"/>
    <tableColumn id="6" name="Age"/>
    <tableColumn id="7" name="Gender"/>
    <tableColumn id="8" name="City"/>
    <tableColumn id="9" name="Monthly_Salary"/>
  </tableColumns>
  <tableStyleInfo name="TableStyleLight21" showFirstColumn="0" showLastColumn="0" showRowStripes="1" showColumnStripes="0"/>
</table>
</file>

<file path=xl/tables/table2.xml><?xml version="1.0" encoding="utf-8"?>
<table xmlns="http://schemas.openxmlformats.org/spreadsheetml/2006/main" id="3" name="Table3" displayName="Table3" ref="K4:L9" totalsRowShown="0">
  <autoFilter ref="K4:L9"/>
  <tableColumns count="2">
    <tableColumn id="1" name="Column1"/>
    <tableColumn id="2" name="Column2"/>
  </tableColumns>
  <tableStyleInfo name="TableStylePreset3_Accen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4"/>
  <sheetViews>
    <sheetView topLeftCell="A29" workbookViewId="0">
      <selection activeCell="C55" sqref="C55"/>
    </sheetView>
  </sheetViews>
  <sheetFormatPr defaultRowHeight="13.8" x14ac:dyDescent="0.25"/>
  <cols>
    <col min="1" max="1" width="23.09765625" customWidth="1"/>
    <col min="2" max="3" width="5.09765625" customWidth="1"/>
    <col min="5" max="5" width="19.8984375" customWidth="1"/>
    <col min="6" max="6" width="13.69921875" customWidth="1"/>
    <col min="7" max="8" width="7.8984375" customWidth="1"/>
    <col min="9" max="9" width="20.8984375" bestFit="1" customWidth="1"/>
    <col min="10" max="10" width="7.8984375" bestFit="1" customWidth="1"/>
    <col min="11" max="11" width="19.8984375" customWidth="1"/>
    <col min="12" max="12" width="13" customWidth="1"/>
    <col min="13" max="14" width="9.69921875" customWidth="1"/>
    <col min="15" max="15" width="11.19921875" customWidth="1"/>
    <col min="16" max="16" width="9.69921875" customWidth="1"/>
    <col min="17" max="17" width="8.796875" bestFit="1" customWidth="1"/>
    <col min="18" max="18" width="9.5" bestFit="1" customWidth="1"/>
  </cols>
  <sheetData>
    <row r="3" spans="1:15" x14ac:dyDescent="0.25">
      <c r="A3" s="3" t="s">
        <v>75</v>
      </c>
      <c r="B3" s="4"/>
      <c r="E3" s="3" t="s">
        <v>78</v>
      </c>
      <c r="F3" s="2"/>
      <c r="G3" s="4"/>
      <c r="I3" s="3" t="s">
        <v>78</v>
      </c>
      <c r="J3" s="4"/>
      <c r="L3" s="3" t="s">
        <v>86</v>
      </c>
      <c r="M3" s="3" t="s">
        <v>6</v>
      </c>
      <c r="N3" s="2"/>
      <c r="O3" s="10"/>
    </row>
    <row r="4" spans="1:15" x14ac:dyDescent="0.25">
      <c r="A4" s="3" t="s">
        <v>2</v>
      </c>
      <c r="B4" s="4" t="s">
        <v>76</v>
      </c>
      <c r="E4" s="3" t="s">
        <v>6</v>
      </c>
      <c r="F4" s="3" t="s">
        <v>2</v>
      </c>
      <c r="G4" s="4" t="s">
        <v>76</v>
      </c>
      <c r="I4" s="3" t="s">
        <v>3</v>
      </c>
      <c r="J4" s="4" t="s">
        <v>76</v>
      </c>
      <c r="L4" s="3" t="s">
        <v>7</v>
      </c>
      <c r="M4" s="1" t="s">
        <v>12</v>
      </c>
      <c r="N4" s="11" t="s">
        <v>24</v>
      </c>
      <c r="O4" s="4" t="s">
        <v>77</v>
      </c>
    </row>
    <row r="5" spans="1:15" x14ac:dyDescent="0.25">
      <c r="A5" s="1" t="s">
        <v>27</v>
      </c>
      <c r="B5" s="5">
        <v>78</v>
      </c>
      <c r="E5" s="1" t="s">
        <v>12</v>
      </c>
      <c r="F5" s="1" t="s">
        <v>27</v>
      </c>
      <c r="G5" s="5">
        <v>448528</v>
      </c>
      <c r="I5" s="1">
        <v>1</v>
      </c>
      <c r="J5" s="5">
        <v>186044</v>
      </c>
      <c r="L5" s="1" t="s">
        <v>17</v>
      </c>
      <c r="M5" s="12">
        <v>5</v>
      </c>
      <c r="N5" s="13">
        <v>6</v>
      </c>
      <c r="O5" s="5">
        <v>11</v>
      </c>
    </row>
    <row r="6" spans="1:15" x14ac:dyDescent="0.25">
      <c r="A6" s="6" t="s">
        <v>43</v>
      </c>
      <c r="B6" s="7">
        <v>55</v>
      </c>
      <c r="E6" s="18"/>
      <c r="F6" s="6" t="s">
        <v>43</v>
      </c>
      <c r="G6" s="7">
        <v>355279</v>
      </c>
      <c r="I6" s="6">
        <v>2</v>
      </c>
      <c r="J6" s="7">
        <v>128079</v>
      </c>
      <c r="L6" s="6" t="s">
        <v>41</v>
      </c>
      <c r="M6" s="16">
        <v>1</v>
      </c>
      <c r="N6" s="17">
        <v>4</v>
      </c>
      <c r="O6" s="7">
        <v>5</v>
      </c>
    </row>
    <row r="7" spans="1:15" x14ac:dyDescent="0.25">
      <c r="A7" s="6" t="s">
        <v>19</v>
      </c>
      <c r="B7" s="7">
        <v>108</v>
      </c>
      <c r="E7" s="18"/>
      <c r="F7" s="6" t="s">
        <v>19</v>
      </c>
      <c r="G7" s="7">
        <v>409177</v>
      </c>
      <c r="I7" s="6">
        <v>3</v>
      </c>
      <c r="J7" s="7">
        <v>212854</v>
      </c>
      <c r="L7" s="6" t="s">
        <v>13</v>
      </c>
      <c r="M7" s="16">
        <v>10</v>
      </c>
      <c r="N7" s="17">
        <v>5</v>
      </c>
      <c r="O7" s="7">
        <v>15</v>
      </c>
    </row>
    <row r="8" spans="1:15" x14ac:dyDescent="0.25">
      <c r="A8" s="6" t="s">
        <v>10</v>
      </c>
      <c r="B8" s="7">
        <v>167</v>
      </c>
      <c r="E8" s="18"/>
      <c r="F8" s="6" t="s">
        <v>10</v>
      </c>
      <c r="G8" s="7">
        <v>621702</v>
      </c>
      <c r="I8" s="6">
        <v>4</v>
      </c>
      <c r="J8" s="7">
        <v>321955</v>
      </c>
      <c r="L8" s="6" t="s">
        <v>21</v>
      </c>
      <c r="M8" s="16">
        <v>9</v>
      </c>
      <c r="N8" s="17">
        <v>3</v>
      </c>
      <c r="O8" s="7">
        <v>12</v>
      </c>
    </row>
    <row r="9" spans="1:15" x14ac:dyDescent="0.25">
      <c r="A9" s="6" t="s">
        <v>15</v>
      </c>
      <c r="B9" s="7">
        <v>87</v>
      </c>
      <c r="E9" s="18"/>
      <c r="F9" s="6" t="s">
        <v>15</v>
      </c>
      <c r="G9" s="7">
        <v>522581</v>
      </c>
      <c r="I9" s="6">
        <v>5</v>
      </c>
      <c r="J9" s="7">
        <v>28420</v>
      </c>
      <c r="L9" s="6" t="s">
        <v>28</v>
      </c>
      <c r="M9" s="16">
        <v>2</v>
      </c>
      <c r="N9" s="17">
        <v>5</v>
      </c>
      <c r="O9" s="7">
        <v>7</v>
      </c>
    </row>
    <row r="10" spans="1:15" x14ac:dyDescent="0.25">
      <c r="A10" s="8" t="s">
        <v>77</v>
      </c>
      <c r="B10" s="9">
        <v>495</v>
      </c>
      <c r="E10" s="1" t="s">
        <v>79</v>
      </c>
      <c r="F10" s="2"/>
      <c r="G10" s="5">
        <v>2357267</v>
      </c>
      <c r="I10" s="6">
        <v>6</v>
      </c>
      <c r="J10" s="7">
        <v>28436</v>
      </c>
      <c r="L10" s="8" t="s">
        <v>77</v>
      </c>
      <c r="M10" s="14">
        <v>27</v>
      </c>
      <c r="N10" s="15">
        <v>23</v>
      </c>
      <c r="O10" s="9">
        <v>50</v>
      </c>
    </row>
    <row r="11" spans="1:15" x14ac:dyDescent="0.25">
      <c r="E11" s="1" t="s">
        <v>24</v>
      </c>
      <c r="F11" s="1" t="s">
        <v>27</v>
      </c>
      <c r="G11" s="5">
        <v>224091</v>
      </c>
      <c r="I11" s="6">
        <v>7</v>
      </c>
      <c r="J11" s="7">
        <v>176762</v>
      </c>
    </row>
    <row r="12" spans="1:15" x14ac:dyDescent="0.25">
      <c r="E12" s="18"/>
      <c r="F12" s="6" t="s">
        <v>43</v>
      </c>
      <c r="G12" s="7">
        <v>225337</v>
      </c>
      <c r="I12" s="6">
        <v>8</v>
      </c>
      <c r="J12" s="7">
        <v>654211</v>
      </c>
    </row>
    <row r="13" spans="1:15" x14ac:dyDescent="0.25">
      <c r="E13" s="18"/>
      <c r="F13" s="6" t="s">
        <v>19</v>
      </c>
      <c r="G13" s="7">
        <v>356028</v>
      </c>
      <c r="I13" s="6">
        <v>9</v>
      </c>
      <c r="J13" s="7">
        <v>277069</v>
      </c>
    </row>
    <row r="14" spans="1:15" x14ac:dyDescent="0.25">
      <c r="E14" s="18"/>
      <c r="F14" s="6" t="s">
        <v>10</v>
      </c>
      <c r="G14" s="7">
        <v>631899</v>
      </c>
      <c r="I14" s="6">
        <v>10</v>
      </c>
      <c r="J14" s="7">
        <v>295419</v>
      </c>
    </row>
    <row r="15" spans="1:15" x14ac:dyDescent="0.25">
      <c r="E15" s="18"/>
      <c r="F15" s="6" t="s">
        <v>15</v>
      </c>
      <c r="G15" s="7">
        <v>319818</v>
      </c>
      <c r="I15" s="6">
        <v>11</v>
      </c>
      <c r="J15" s="7">
        <v>61212</v>
      </c>
    </row>
    <row r="16" spans="1:15" x14ac:dyDescent="0.25">
      <c r="E16" s="1" t="s">
        <v>80</v>
      </c>
      <c r="F16" s="2"/>
      <c r="G16" s="5">
        <v>1757173</v>
      </c>
      <c r="I16" s="6">
        <v>12</v>
      </c>
      <c r="J16" s="7">
        <v>182286</v>
      </c>
    </row>
    <row r="17" spans="5:10" x14ac:dyDescent="0.25">
      <c r="E17" s="8" t="s">
        <v>77</v>
      </c>
      <c r="F17" s="19"/>
      <c r="G17" s="9">
        <v>4114440</v>
      </c>
      <c r="I17" s="6">
        <v>13</v>
      </c>
      <c r="J17" s="7">
        <v>278582</v>
      </c>
    </row>
    <row r="18" spans="5:10" x14ac:dyDescent="0.25">
      <c r="I18" s="6">
        <v>14</v>
      </c>
      <c r="J18" s="7">
        <v>180170</v>
      </c>
    </row>
    <row r="19" spans="5:10" x14ac:dyDescent="0.25">
      <c r="I19" s="6">
        <v>15</v>
      </c>
      <c r="J19" s="7">
        <v>513986</v>
      </c>
    </row>
    <row r="20" spans="5:10" x14ac:dyDescent="0.25">
      <c r="I20" s="6">
        <v>16</v>
      </c>
      <c r="J20" s="7">
        <v>241067</v>
      </c>
    </row>
    <row r="21" spans="5:10" x14ac:dyDescent="0.25">
      <c r="I21" s="6">
        <v>17</v>
      </c>
      <c r="J21" s="7">
        <v>117032</v>
      </c>
    </row>
    <row r="22" spans="5:10" x14ac:dyDescent="0.25">
      <c r="I22" s="6">
        <v>18</v>
      </c>
      <c r="J22" s="7">
        <v>162331</v>
      </c>
    </row>
    <row r="23" spans="5:10" x14ac:dyDescent="0.25">
      <c r="I23" s="6">
        <v>19</v>
      </c>
      <c r="J23" s="7">
        <v>68525</v>
      </c>
    </row>
    <row r="24" spans="5:10" x14ac:dyDescent="0.25">
      <c r="I24" s="8" t="s">
        <v>77</v>
      </c>
      <c r="J24" s="9">
        <v>4114440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2" zoomScale="60" zoomScaleNormal="60" workbookViewId="0">
      <selection activeCell="V24" sqref="V24"/>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opLeftCell="B1" workbookViewId="0">
      <selection activeCell="K7" sqref="K7"/>
    </sheetView>
  </sheetViews>
  <sheetFormatPr defaultColWidth="9.8984375" defaultRowHeight="13.8" x14ac:dyDescent="0.25"/>
  <cols>
    <col min="1" max="1" width="12.8984375" customWidth="1"/>
    <col min="2" max="2" width="23.69921875" customWidth="1"/>
    <col min="3" max="3" width="21.69921875" customWidth="1"/>
    <col min="4" max="4" width="17.5" customWidth="1"/>
    <col min="5" max="5" width="17.69921875" customWidth="1"/>
    <col min="7" max="7" width="11.3984375" customWidth="1"/>
    <col min="8" max="8" width="11.8984375" customWidth="1"/>
    <col min="9" max="9" width="16.09765625" customWidth="1"/>
    <col min="11" max="11" width="14.5" customWidth="1"/>
    <col min="12" max="12" width="10.3984375" customWidth="1"/>
  </cols>
  <sheetData>
    <row r="1" spans="1:12" x14ac:dyDescent="0.25">
      <c r="A1" t="s">
        <v>0</v>
      </c>
      <c r="B1" t="s">
        <v>1</v>
      </c>
      <c r="C1" t="s">
        <v>2</v>
      </c>
      <c r="D1" t="s">
        <v>3</v>
      </c>
      <c r="E1" t="s">
        <v>4</v>
      </c>
      <c r="F1" t="s">
        <v>5</v>
      </c>
      <c r="G1" t="s">
        <v>6</v>
      </c>
      <c r="H1" t="s">
        <v>7</v>
      </c>
      <c r="I1" t="s">
        <v>8</v>
      </c>
    </row>
    <row r="2" spans="1:12" x14ac:dyDescent="0.25">
      <c r="A2">
        <v>1</v>
      </c>
      <c r="B2" t="s">
        <v>9</v>
      </c>
      <c r="C2" t="s">
        <v>10</v>
      </c>
      <c r="D2">
        <v>15</v>
      </c>
      <c r="E2" t="s">
        <v>11</v>
      </c>
      <c r="F2">
        <v>53</v>
      </c>
      <c r="G2" t="s">
        <v>12</v>
      </c>
      <c r="H2" t="s">
        <v>13</v>
      </c>
      <c r="I2">
        <v>111416</v>
      </c>
    </row>
    <row r="3" spans="1:12" x14ac:dyDescent="0.25">
      <c r="A3">
        <v>2</v>
      </c>
      <c r="B3" t="s">
        <v>14</v>
      </c>
      <c r="C3" t="s">
        <v>15</v>
      </c>
      <c r="D3">
        <v>7</v>
      </c>
      <c r="E3" t="s">
        <v>16</v>
      </c>
      <c r="F3">
        <v>25</v>
      </c>
      <c r="G3" t="s">
        <v>12</v>
      </c>
      <c r="H3" t="s">
        <v>17</v>
      </c>
      <c r="I3">
        <v>95271</v>
      </c>
    </row>
    <row r="4" spans="1:12" x14ac:dyDescent="0.25">
      <c r="A4">
        <v>3</v>
      </c>
      <c r="B4" t="s">
        <v>18</v>
      </c>
      <c r="C4" t="s">
        <v>19</v>
      </c>
      <c r="D4">
        <v>12</v>
      </c>
      <c r="E4" t="s">
        <v>20</v>
      </c>
      <c r="F4">
        <v>51</v>
      </c>
      <c r="G4" t="s">
        <v>12</v>
      </c>
      <c r="H4" t="s">
        <v>21</v>
      </c>
      <c r="I4">
        <v>69064</v>
      </c>
      <c r="K4" t="s">
        <v>81</v>
      </c>
      <c r="L4" t="s">
        <v>82</v>
      </c>
    </row>
    <row r="5" spans="1:12" x14ac:dyDescent="0.25">
      <c r="A5">
        <v>4</v>
      </c>
      <c r="B5" t="s">
        <v>22</v>
      </c>
      <c r="C5" t="s">
        <v>15</v>
      </c>
      <c r="D5">
        <v>8</v>
      </c>
      <c r="E5" t="s">
        <v>23</v>
      </c>
      <c r="F5">
        <v>44</v>
      </c>
      <c r="G5" t="s">
        <v>24</v>
      </c>
      <c r="H5" t="s">
        <v>13</v>
      </c>
      <c r="I5">
        <v>95091</v>
      </c>
      <c r="K5" t="s">
        <v>83</v>
      </c>
      <c r="L5">
        <f>COUNT(A2:A51)</f>
        <v>50</v>
      </c>
    </row>
    <row r="6" spans="1:12" x14ac:dyDescent="0.25">
      <c r="A6">
        <v>5</v>
      </c>
      <c r="B6" t="s">
        <v>25</v>
      </c>
      <c r="C6" t="s">
        <v>15</v>
      </c>
      <c r="D6">
        <v>15</v>
      </c>
      <c r="E6" t="s">
        <v>11</v>
      </c>
      <c r="F6">
        <v>36</v>
      </c>
      <c r="G6" t="s">
        <v>12</v>
      </c>
      <c r="H6" t="s">
        <v>13</v>
      </c>
      <c r="I6">
        <v>132450</v>
      </c>
      <c r="K6" t="s">
        <v>84</v>
      </c>
      <c r="L6">
        <f>SUM(I2:I51)</f>
        <v>4114440</v>
      </c>
    </row>
    <row r="7" spans="1:12" x14ac:dyDescent="0.25">
      <c r="A7">
        <v>6</v>
      </c>
      <c r="B7" t="s">
        <v>26</v>
      </c>
      <c r="C7" t="s">
        <v>27</v>
      </c>
      <c r="D7">
        <v>3</v>
      </c>
      <c r="E7" t="s">
        <v>20</v>
      </c>
      <c r="F7">
        <v>50</v>
      </c>
      <c r="G7" t="s">
        <v>24</v>
      </c>
      <c r="H7" t="s">
        <v>28</v>
      </c>
      <c r="I7">
        <v>65818</v>
      </c>
      <c r="K7" t="s">
        <v>85</v>
      </c>
      <c r="L7">
        <f>AVERAGE(I51)</f>
        <v>121752</v>
      </c>
    </row>
    <row r="8" spans="1:12" x14ac:dyDescent="0.25">
      <c r="A8">
        <v>7</v>
      </c>
      <c r="B8" t="s">
        <v>29</v>
      </c>
      <c r="C8" t="s">
        <v>19</v>
      </c>
      <c r="D8">
        <v>14</v>
      </c>
      <c r="E8" t="s">
        <v>23</v>
      </c>
      <c r="F8">
        <v>57</v>
      </c>
      <c r="G8" t="s">
        <v>24</v>
      </c>
      <c r="H8" t="s">
        <v>28</v>
      </c>
      <c r="I8">
        <v>70525</v>
      </c>
      <c r="K8" t="s">
        <v>24</v>
      </c>
      <c r="L8">
        <f>COUNTIF(G2:G51,"Male")</f>
        <v>23</v>
      </c>
    </row>
    <row r="9" spans="1:12" x14ac:dyDescent="0.25">
      <c r="A9">
        <v>8</v>
      </c>
      <c r="B9" t="s">
        <v>30</v>
      </c>
      <c r="C9" t="s">
        <v>19</v>
      </c>
      <c r="D9">
        <v>17</v>
      </c>
      <c r="E9" t="s">
        <v>23</v>
      </c>
      <c r="F9">
        <v>34</v>
      </c>
      <c r="G9" t="s">
        <v>12</v>
      </c>
      <c r="H9" t="s">
        <v>17</v>
      </c>
      <c r="I9">
        <v>44830</v>
      </c>
      <c r="K9" t="s">
        <v>12</v>
      </c>
      <c r="L9">
        <f>COUNTIF(G2:G52,"Female")</f>
        <v>27</v>
      </c>
    </row>
    <row r="10" spans="1:12" x14ac:dyDescent="0.25">
      <c r="A10">
        <v>9</v>
      </c>
      <c r="B10" t="s">
        <v>31</v>
      </c>
      <c r="C10" t="s">
        <v>19</v>
      </c>
      <c r="D10">
        <v>4</v>
      </c>
      <c r="E10" t="s">
        <v>16</v>
      </c>
      <c r="F10">
        <v>53</v>
      </c>
      <c r="G10" t="s">
        <v>24</v>
      </c>
      <c r="H10" t="s">
        <v>21</v>
      </c>
      <c r="I10">
        <v>42429</v>
      </c>
    </row>
    <row r="11" spans="1:12" x14ac:dyDescent="0.25">
      <c r="A11">
        <v>10</v>
      </c>
      <c r="B11" t="s">
        <v>32</v>
      </c>
      <c r="C11" t="s">
        <v>15</v>
      </c>
      <c r="D11">
        <v>18</v>
      </c>
      <c r="E11" t="s">
        <v>20</v>
      </c>
      <c r="F11">
        <v>28</v>
      </c>
      <c r="G11" t="s">
        <v>24</v>
      </c>
      <c r="H11" t="s">
        <v>28</v>
      </c>
      <c r="I11">
        <v>31893</v>
      </c>
    </row>
    <row r="12" spans="1:12" x14ac:dyDescent="0.25">
      <c r="A12">
        <v>11</v>
      </c>
      <c r="B12" t="s">
        <v>33</v>
      </c>
      <c r="C12" t="s">
        <v>10</v>
      </c>
      <c r="D12">
        <v>8</v>
      </c>
      <c r="E12" t="s">
        <v>23</v>
      </c>
      <c r="F12">
        <v>43</v>
      </c>
      <c r="G12" t="s">
        <v>24</v>
      </c>
      <c r="H12" t="s">
        <v>13</v>
      </c>
      <c r="I12">
        <v>141381</v>
      </c>
    </row>
    <row r="13" spans="1:12" x14ac:dyDescent="0.25">
      <c r="A13">
        <v>12</v>
      </c>
      <c r="B13" t="s">
        <v>34</v>
      </c>
      <c r="C13" t="s">
        <v>19</v>
      </c>
      <c r="D13">
        <v>4</v>
      </c>
      <c r="E13" t="s">
        <v>11</v>
      </c>
      <c r="F13">
        <v>49</v>
      </c>
      <c r="G13" t="s">
        <v>12</v>
      </c>
      <c r="H13" t="s">
        <v>21</v>
      </c>
      <c r="I13">
        <v>104909</v>
      </c>
    </row>
    <row r="14" spans="1:12" x14ac:dyDescent="0.25">
      <c r="A14">
        <v>13</v>
      </c>
      <c r="B14" t="s">
        <v>35</v>
      </c>
      <c r="C14" t="s">
        <v>15</v>
      </c>
      <c r="D14">
        <v>2</v>
      </c>
      <c r="E14" t="s">
        <v>11</v>
      </c>
      <c r="F14">
        <v>23</v>
      </c>
      <c r="G14" t="s">
        <v>12</v>
      </c>
      <c r="H14" t="s">
        <v>21</v>
      </c>
      <c r="I14">
        <v>72333</v>
      </c>
    </row>
    <row r="15" spans="1:12" x14ac:dyDescent="0.25">
      <c r="A15">
        <v>14</v>
      </c>
      <c r="B15" t="s">
        <v>36</v>
      </c>
      <c r="C15" t="s">
        <v>27</v>
      </c>
      <c r="D15">
        <v>6</v>
      </c>
      <c r="E15" t="s">
        <v>16</v>
      </c>
      <c r="F15">
        <v>27</v>
      </c>
      <c r="G15" t="s">
        <v>24</v>
      </c>
      <c r="H15" t="s">
        <v>13</v>
      </c>
      <c r="I15">
        <v>28436</v>
      </c>
    </row>
    <row r="16" spans="1:12" x14ac:dyDescent="0.25">
      <c r="A16">
        <v>15</v>
      </c>
      <c r="B16" t="s">
        <v>37</v>
      </c>
      <c r="C16" t="s">
        <v>10</v>
      </c>
      <c r="D16">
        <v>10</v>
      </c>
      <c r="E16" t="s">
        <v>23</v>
      </c>
      <c r="F16">
        <v>49</v>
      </c>
      <c r="G16" t="s">
        <v>12</v>
      </c>
      <c r="H16" t="s">
        <v>28</v>
      </c>
      <c r="I16">
        <v>99290</v>
      </c>
    </row>
    <row r="17" spans="1:9" x14ac:dyDescent="0.25">
      <c r="A17">
        <v>16</v>
      </c>
      <c r="B17" t="s">
        <v>38</v>
      </c>
      <c r="C17" t="s">
        <v>27</v>
      </c>
      <c r="D17">
        <v>4</v>
      </c>
      <c r="E17" t="s">
        <v>20</v>
      </c>
      <c r="F17">
        <v>49</v>
      </c>
      <c r="G17" t="s">
        <v>12</v>
      </c>
      <c r="H17" t="s">
        <v>13</v>
      </c>
      <c r="I17">
        <v>101213</v>
      </c>
    </row>
    <row r="18" spans="1:9" x14ac:dyDescent="0.25">
      <c r="A18">
        <v>17</v>
      </c>
      <c r="B18" t="s">
        <v>39</v>
      </c>
      <c r="C18" t="s">
        <v>10</v>
      </c>
      <c r="D18">
        <v>18</v>
      </c>
      <c r="E18" t="s">
        <v>11</v>
      </c>
      <c r="F18">
        <v>41</v>
      </c>
      <c r="G18" t="s">
        <v>12</v>
      </c>
      <c r="H18" t="s">
        <v>21</v>
      </c>
      <c r="I18">
        <v>30895</v>
      </c>
    </row>
    <row r="19" spans="1:9" x14ac:dyDescent="0.25">
      <c r="A19">
        <v>18</v>
      </c>
      <c r="B19" t="s">
        <v>40</v>
      </c>
      <c r="C19" t="s">
        <v>15</v>
      </c>
      <c r="D19">
        <v>12</v>
      </c>
      <c r="E19" t="s">
        <v>23</v>
      </c>
      <c r="F19">
        <v>51</v>
      </c>
      <c r="G19" t="s">
        <v>12</v>
      </c>
      <c r="H19" t="s">
        <v>41</v>
      </c>
      <c r="I19">
        <v>44738</v>
      </c>
    </row>
    <row r="20" spans="1:9" x14ac:dyDescent="0.25">
      <c r="A20">
        <v>19</v>
      </c>
      <c r="B20" t="s">
        <v>42</v>
      </c>
      <c r="C20" t="s">
        <v>43</v>
      </c>
      <c r="D20">
        <v>2</v>
      </c>
      <c r="E20" t="s">
        <v>23</v>
      </c>
      <c r="F20">
        <v>32</v>
      </c>
      <c r="G20" t="s">
        <v>24</v>
      </c>
      <c r="H20" t="s">
        <v>41</v>
      </c>
      <c r="I20">
        <v>55746</v>
      </c>
    </row>
    <row r="21" spans="1:9" x14ac:dyDescent="0.25">
      <c r="A21">
        <v>20</v>
      </c>
      <c r="B21" t="s">
        <v>44</v>
      </c>
      <c r="C21" t="s">
        <v>10</v>
      </c>
      <c r="D21">
        <v>10</v>
      </c>
      <c r="E21" t="s">
        <v>16</v>
      </c>
      <c r="F21">
        <v>49</v>
      </c>
      <c r="G21" t="s">
        <v>24</v>
      </c>
      <c r="H21" t="s">
        <v>17</v>
      </c>
      <c r="I21">
        <v>74377</v>
      </c>
    </row>
    <row r="22" spans="1:9" x14ac:dyDescent="0.25">
      <c r="A22">
        <v>21</v>
      </c>
      <c r="B22" t="s">
        <v>45</v>
      </c>
      <c r="C22" t="s">
        <v>27</v>
      </c>
      <c r="D22">
        <v>4</v>
      </c>
      <c r="E22" t="s">
        <v>11</v>
      </c>
      <c r="F22">
        <v>46</v>
      </c>
      <c r="G22" t="s">
        <v>12</v>
      </c>
      <c r="H22" t="s">
        <v>13</v>
      </c>
      <c r="I22">
        <v>73404</v>
      </c>
    </row>
    <row r="23" spans="1:9" x14ac:dyDescent="0.25">
      <c r="A23">
        <v>22</v>
      </c>
      <c r="B23" t="s">
        <v>46</v>
      </c>
      <c r="C23" t="s">
        <v>15</v>
      </c>
      <c r="D23">
        <v>14</v>
      </c>
      <c r="E23" t="s">
        <v>11</v>
      </c>
      <c r="F23">
        <v>54</v>
      </c>
      <c r="G23" t="s">
        <v>12</v>
      </c>
      <c r="H23" t="s">
        <v>13</v>
      </c>
      <c r="I23">
        <v>79045</v>
      </c>
    </row>
    <row r="24" spans="1:9" x14ac:dyDescent="0.25">
      <c r="A24">
        <v>23</v>
      </c>
      <c r="B24" t="s">
        <v>47</v>
      </c>
      <c r="C24" t="s">
        <v>10</v>
      </c>
      <c r="D24">
        <v>16</v>
      </c>
      <c r="E24" t="s">
        <v>20</v>
      </c>
      <c r="F24">
        <v>22</v>
      </c>
      <c r="G24" t="s">
        <v>24</v>
      </c>
      <c r="H24" t="s">
        <v>17</v>
      </c>
      <c r="I24">
        <v>122888</v>
      </c>
    </row>
    <row r="25" spans="1:9" x14ac:dyDescent="0.25">
      <c r="A25">
        <v>24</v>
      </c>
      <c r="B25" t="s">
        <v>48</v>
      </c>
      <c r="C25" t="s">
        <v>43</v>
      </c>
      <c r="D25">
        <v>15</v>
      </c>
      <c r="E25" t="s">
        <v>11</v>
      </c>
      <c r="F25">
        <v>48</v>
      </c>
      <c r="G25" t="s">
        <v>24</v>
      </c>
      <c r="H25" t="s">
        <v>17</v>
      </c>
      <c r="I25">
        <v>64790</v>
      </c>
    </row>
    <row r="26" spans="1:9" x14ac:dyDescent="0.25">
      <c r="A26">
        <v>25</v>
      </c>
      <c r="B26" t="s">
        <v>49</v>
      </c>
      <c r="C26" t="s">
        <v>43</v>
      </c>
      <c r="D26">
        <v>8</v>
      </c>
      <c r="E26" t="s">
        <v>20</v>
      </c>
      <c r="F26">
        <v>34</v>
      </c>
      <c r="G26" t="s">
        <v>12</v>
      </c>
      <c r="H26" t="s">
        <v>17</v>
      </c>
      <c r="I26">
        <v>132455</v>
      </c>
    </row>
    <row r="27" spans="1:9" x14ac:dyDescent="0.25">
      <c r="A27">
        <v>26</v>
      </c>
      <c r="B27" t="s">
        <v>50</v>
      </c>
      <c r="C27" t="s">
        <v>19</v>
      </c>
      <c r="D27">
        <v>14</v>
      </c>
      <c r="E27" t="s">
        <v>11</v>
      </c>
      <c r="F27">
        <v>24</v>
      </c>
      <c r="G27" t="s">
        <v>24</v>
      </c>
      <c r="H27" t="s">
        <v>21</v>
      </c>
      <c r="I27">
        <v>30600</v>
      </c>
    </row>
    <row r="28" spans="1:9" x14ac:dyDescent="0.25">
      <c r="A28">
        <v>27</v>
      </c>
      <c r="B28" t="s">
        <v>51</v>
      </c>
      <c r="C28" t="s">
        <v>19</v>
      </c>
      <c r="D28">
        <v>8</v>
      </c>
      <c r="E28" t="s">
        <v>16</v>
      </c>
      <c r="F28">
        <v>27</v>
      </c>
      <c r="G28" t="s">
        <v>12</v>
      </c>
      <c r="H28" t="s">
        <v>13</v>
      </c>
      <c r="I28">
        <v>119660</v>
      </c>
    </row>
    <row r="29" spans="1:9" x14ac:dyDescent="0.25">
      <c r="A29">
        <v>28</v>
      </c>
      <c r="B29" t="s">
        <v>52</v>
      </c>
      <c r="C29" t="s">
        <v>27</v>
      </c>
      <c r="D29">
        <v>16</v>
      </c>
      <c r="E29" t="s">
        <v>11</v>
      </c>
      <c r="F29">
        <v>29</v>
      </c>
      <c r="G29" t="s">
        <v>12</v>
      </c>
      <c r="H29" t="s">
        <v>21</v>
      </c>
      <c r="I29">
        <v>118179</v>
      </c>
    </row>
    <row r="30" spans="1:9" x14ac:dyDescent="0.25">
      <c r="A30">
        <v>29</v>
      </c>
      <c r="B30" t="s">
        <v>53</v>
      </c>
      <c r="C30" t="s">
        <v>10</v>
      </c>
      <c r="D30">
        <v>13</v>
      </c>
      <c r="E30" t="s">
        <v>20</v>
      </c>
      <c r="F30">
        <v>48</v>
      </c>
      <c r="G30" t="s">
        <v>24</v>
      </c>
      <c r="H30" t="s">
        <v>17</v>
      </c>
      <c r="I30">
        <v>65764</v>
      </c>
    </row>
    <row r="31" spans="1:9" x14ac:dyDescent="0.25">
      <c r="A31">
        <v>30</v>
      </c>
      <c r="B31" t="s">
        <v>54</v>
      </c>
      <c r="C31" t="s">
        <v>10</v>
      </c>
      <c r="D31">
        <v>18</v>
      </c>
      <c r="E31" t="s">
        <v>20</v>
      </c>
      <c r="F31">
        <v>30</v>
      </c>
      <c r="G31" t="s">
        <v>24</v>
      </c>
      <c r="H31" t="s">
        <v>13</v>
      </c>
      <c r="I31">
        <v>99543</v>
      </c>
    </row>
    <row r="32" spans="1:9" x14ac:dyDescent="0.25">
      <c r="A32">
        <v>31</v>
      </c>
      <c r="B32" t="s">
        <v>55</v>
      </c>
      <c r="C32" t="s">
        <v>19</v>
      </c>
      <c r="D32">
        <v>15</v>
      </c>
      <c r="E32" t="s">
        <v>16</v>
      </c>
      <c r="F32">
        <v>54</v>
      </c>
      <c r="G32" t="s">
        <v>12</v>
      </c>
      <c r="H32" t="s">
        <v>21</v>
      </c>
      <c r="I32">
        <v>70714</v>
      </c>
    </row>
    <row r="33" spans="1:9" x14ac:dyDescent="0.25">
      <c r="A33">
        <v>32</v>
      </c>
      <c r="B33" t="s">
        <v>56</v>
      </c>
      <c r="C33" t="s">
        <v>10</v>
      </c>
      <c r="D33">
        <v>13</v>
      </c>
      <c r="E33" t="s">
        <v>11</v>
      </c>
      <c r="F33">
        <v>45</v>
      </c>
      <c r="G33" t="s">
        <v>12</v>
      </c>
      <c r="H33" t="s">
        <v>21</v>
      </c>
      <c r="I33">
        <v>81835</v>
      </c>
    </row>
    <row r="34" spans="1:9" x14ac:dyDescent="0.25">
      <c r="A34">
        <v>33</v>
      </c>
      <c r="B34" t="s">
        <v>57</v>
      </c>
      <c r="C34" t="s">
        <v>10</v>
      </c>
      <c r="D34">
        <v>9</v>
      </c>
      <c r="E34" t="s">
        <v>11</v>
      </c>
      <c r="F34">
        <v>36</v>
      </c>
      <c r="G34" t="s">
        <v>24</v>
      </c>
      <c r="H34" t="s">
        <v>17</v>
      </c>
      <c r="I34">
        <v>127946</v>
      </c>
    </row>
    <row r="35" spans="1:9" x14ac:dyDescent="0.25">
      <c r="A35">
        <v>34</v>
      </c>
      <c r="B35" t="s">
        <v>58</v>
      </c>
      <c r="C35" t="s">
        <v>43</v>
      </c>
      <c r="D35">
        <v>15</v>
      </c>
      <c r="E35" t="s">
        <v>16</v>
      </c>
      <c r="F35">
        <v>53</v>
      </c>
      <c r="G35" t="s">
        <v>12</v>
      </c>
      <c r="H35" t="s">
        <v>13</v>
      </c>
      <c r="I35">
        <v>134616</v>
      </c>
    </row>
    <row r="36" spans="1:9" x14ac:dyDescent="0.25">
      <c r="A36">
        <v>35</v>
      </c>
      <c r="B36" t="s">
        <v>59</v>
      </c>
      <c r="C36" t="s">
        <v>19</v>
      </c>
      <c r="D36">
        <v>13</v>
      </c>
      <c r="E36" t="s">
        <v>11</v>
      </c>
      <c r="F36">
        <v>53</v>
      </c>
      <c r="G36" t="s">
        <v>24</v>
      </c>
      <c r="H36" t="s">
        <v>17</v>
      </c>
      <c r="I36">
        <v>130983</v>
      </c>
    </row>
    <row r="37" spans="1:9" x14ac:dyDescent="0.25">
      <c r="A37">
        <v>36</v>
      </c>
      <c r="B37" t="s">
        <v>60</v>
      </c>
      <c r="C37" t="s">
        <v>15</v>
      </c>
      <c r="D37">
        <v>1</v>
      </c>
      <c r="E37" t="s">
        <v>11</v>
      </c>
      <c r="F37">
        <v>45</v>
      </c>
      <c r="G37" t="s">
        <v>12</v>
      </c>
      <c r="H37" t="s">
        <v>13</v>
      </c>
      <c r="I37">
        <v>98744</v>
      </c>
    </row>
    <row r="38" spans="1:9" x14ac:dyDescent="0.25">
      <c r="A38">
        <v>37</v>
      </c>
      <c r="B38" t="s">
        <v>61</v>
      </c>
      <c r="C38" t="s">
        <v>19</v>
      </c>
      <c r="D38">
        <v>7</v>
      </c>
      <c r="E38" t="s">
        <v>20</v>
      </c>
      <c r="F38">
        <v>33</v>
      </c>
      <c r="G38" t="s">
        <v>24</v>
      </c>
      <c r="H38" t="s">
        <v>41</v>
      </c>
      <c r="I38">
        <v>81491</v>
      </c>
    </row>
    <row r="39" spans="1:9" x14ac:dyDescent="0.25">
      <c r="A39">
        <v>38</v>
      </c>
      <c r="B39" t="s">
        <v>62</v>
      </c>
      <c r="C39" t="s">
        <v>15</v>
      </c>
      <c r="D39">
        <v>9</v>
      </c>
      <c r="E39" t="s">
        <v>11</v>
      </c>
      <c r="F39">
        <v>23</v>
      </c>
      <c r="G39" t="s">
        <v>24</v>
      </c>
      <c r="H39" t="s">
        <v>28</v>
      </c>
      <c r="I39">
        <v>149123</v>
      </c>
    </row>
    <row r="40" spans="1:9" x14ac:dyDescent="0.25">
      <c r="A40">
        <v>39</v>
      </c>
      <c r="B40" t="s">
        <v>63</v>
      </c>
      <c r="C40" t="s">
        <v>43</v>
      </c>
      <c r="D40">
        <v>1</v>
      </c>
      <c r="E40" t="s">
        <v>11</v>
      </c>
      <c r="F40">
        <v>24</v>
      </c>
      <c r="G40" t="s">
        <v>24</v>
      </c>
      <c r="H40" t="s">
        <v>28</v>
      </c>
      <c r="I40">
        <v>43589</v>
      </c>
    </row>
    <row r="41" spans="1:9" x14ac:dyDescent="0.25">
      <c r="A41">
        <v>40</v>
      </c>
      <c r="B41" t="s">
        <v>64</v>
      </c>
      <c r="C41" t="s">
        <v>27</v>
      </c>
      <c r="D41">
        <v>12</v>
      </c>
      <c r="E41" t="s">
        <v>16</v>
      </c>
      <c r="F41">
        <v>38</v>
      </c>
      <c r="G41" t="s">
        <v>12</v>
      </c>
      <c r="H41" t="s">
        <v>28</v>
      </c>
      <c r="I41">
        <v>68484</v>
      </c>
    </row>
    <row r="42" spans="1:9" x14ac:dyDescent="0.25">
      <c r="A42">
        <v>41</v>
      </c>
      <c r="B42" t="s">
        <v>65</v>
      </c>
      <c r="C42" t="s">
        <v>10</v>
      </c>
      <c r="D42">
        <v>8</v>
      </c>
      <c r="E42" t="s">
        <v>16</v>
      </c>
      <c r="F42">
        <v>23</v>
      </c>
      <c r="G42" t="s">
        <v>12</v>
      </c>
      <c r="H42" t="s">
        <v>17</v>
      </c>
      <c r="I42">
        <v>107989</v>
      </c>
    </row>
    <row r="43" spans="1:9" x14ac:dyDescent="0.25">
      <c r="A43">
        <v>42</v>
      </c>
      <c r="B43" t="s">
        <v>66</v>
      </c>
      <c r="C43" t="s">
        <v>43</v>
      </c>
      <c r="D43">
        <v>11</v>
      </c>
      <c r="E43" t="s">
        <v>23</v>
      </c>
      <c r="F43">
        <v>23</v>
      </c>
      <c r="G43" t="s">
        <v>24</v>
      </c>
      <c r="H43" t="s">
        <v>41</v>
      </c>
      <c r="I43">
        <v>61212</v>
      </c>
    </row>
    <row r="44" spans="1:9" x14ac:dyDescent="0.25">
      <c r="A44">
        <v>43</v>
      </c>
      <c r="B44" t="s">
        <v>67</v>
      </c>
      <c r="C44" t="s">
        <v>10</v>
      </c>
      <c r="D44">
        <v>19</v>
      </c>
      <c r="E44" t="s">
        <v>20</v>
      </c>
      <c r="F44">
        <v>49</v>
      </c>
      <c r="G44" t="s">
        <v>12</v>
      </c>
      <c r="H44" t="s">
        <v>13</v>
      </c>
      <c r="I44">
        <v>68525</v>
      </c>
    </row>
    <row r="45" spans="1:9" x14ac:dyDescent="0.25">
      <c r="A45">
        <v>44</v>
      </c>
      <c r="B45" t="s">
        <v>68</v>
      </c>
      <c r="C45" t="s">
        <v>27</v>
      </c>
      <c r="D45">
        <v>17</v>
      </c>
      <c r="E45" t="s">
        <v>11</v>
      </c>
      <c r="F45">
        <v>44</v>
      </c>
      <c r="G45" t="s">
        <v>24</v>
      </c>
      <c r="H45" t="s">
        <v>21</v>
      </c>
      <c r="I45">
        <v>72202</v>
      </c>
    </row>
    <row r="46" spans="1:9" x14ac:dyDescent="0.25">
      <c r="A46">
        <v>45</v>
      </c>
      <c r="B46" t="s">
        <v>69</v>
      </c>
      <c r="C46" t="s">
        <v>27</v>
      </c>
      <c r="D46">
        <v>8</v>
      </c>
      <c r="E46" t="s">
        <v>11</v>
      </c>
      <c r="F46">
        <v>53</v>
      </c>
      <c r="G46" t="s">
        <v>24</v>
      </c>
      <c r="H46" t="s">
        <v>13</v>
      </c>
      <c r="I46">
        <v>57635</v>
      </c>
    </row>
    <row r="47" spans="1:9" x14ac:dyDescent="0.25">
      <c r="A47">
        <v>46</v>
      </c>
      <c r="B47" t="s">
        <v>70</v>
      </c>
      <c r="C47" t="s">
        <v>43</v>
      </c>
      <c r="D47">
        <v>3</v>
      </c>
      <c r="E47" t="s">
        <v>23</v>
      </c>
      <c r="F47">
        <v>54</v>
      </c>
      <c r="G47" t="s">
        <v>12</v>
      </c>
      <c r="H47" t="s">
        <v>21</v>
      </c>
      <c r="I47">
        <v>88208</v>
      </c>
    </row>
    <row r="48" spans="1:9" x14ac:dyDescent="0.25">
      <c r="A48">
        <v>47</v>
      </c>
      <c r="B48" t="s">
        <v>71</v>
      </c>
      <c r="C48" t="s">
        <v>27</v>
      </c>
      <c r="D48">
        <v>3</v>
      </c>
      <c r="E48" t="s">
        <v>11</v>
      </c>
      <c r="F48">
        <v>22</v>
      </c>
      <c r="G48" t="s">
        <v>12</v>
      </c>
      <c r="H48" t="s">
        <v>13</v>
      </c>
      <c r="I48">
        <v>58828</v>
      </c>
    </row>
    <row r="49" spans="1:9" x14ac:dyDescent="0.25">
      <c r="A49">
        <v>48</v>
      </c>
      <c r="B49" t="s">
        <v>72</v>
      </c>
      <c r="C49" t="s">
        <v>15</v>
      </c>
      <c r="D49">
        <v>1</v>
      </c>
      <c r="E49" t="s">
        <v>20</v>
      </c>
      <c r="F49">
        <v>40</v>
      </c>
      <c r="G49" t="s">
        <v>24</v>
      </c>
      <c r="H49" t="s">
        <v>41</v>
      </c>
      <c r="I49">
        <v>43711</v>
      </c>
    </row>
    <row r="50" spans="1:9" x14ac:dyDescent="0.25">
      <c r="A50">
        <v>49</v>
      </c>
      <c r="B50" t="s">
        <v>73</v>
      </c>
      <c r="C50" t="s">
        <v>27</v>
      </c>
      <c r="D50">
        <v>5</v>
      </c>
      <c r="E50" t="s">
        <v>23</v>
      </c>
      <c r="F50">
        <v>23</v>
      </c>
      <c r="G50" t="s">
        <v>12</v>
      </c>
      <c r="H50" t="s">
        <v>21</v>
      </c>
      <c r="I50">
        <v>28420</v>
      </c>
    </row>
    <row r="51" spans="1:9" x14ac:dyDescent="0.25">
      <c r="A51">
        <v>50</v>
      </c>
      <c r="B51" t="s">
        <v>74</v>
      </c>
      <c r="C51" t="s">
        <v>10</v>
      </c>
      <c r="D51">
        <v>10</v>
      </c>
      <c r="E51" t="s">
        <v>20</v>
      </c>
      <c r="F51">
        <v>47</v>
      </c>
      <c r="G51" t="s">
        <v>12</v>
      </c>
      <c r="H51" t="s">
        <v>17</v>
      </c>
      <c r="I51">
        <v>121752</v>
      </c>
    </row>
  </sheetData>
  <pageMargins left="0.75" right="0.75" top="1" bottom="1" header="0.5" footer="0.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vt:lpstr>
      <vt:lpstr>employee_salary_dataset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2026-07-18T11:04:42Z</dcterms:created>
  <dcterms:modified xsi:type="dcterms:W3CDTF">2026-07-21T10:04:00Z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69102E98DB914FD69388C8A65F7BED41_13</vt:lpwstr>
  </property>
  <property fmtid="{D5CDD505-2E9C-101B-9397-08002B2CF9AE}" pid="3" name="KSOProductBuildVer">
    <vt:lpwstr>1033-12.1.0.26880</vt:lpwstr>
  </property>
  <property fmtid="{D5CDD505-2E9C-101B-9397-08002B2CF9AE}" pid="4" name="CalculationRule">
    <vt:r8>0</vt:r8>
  </property>
</Properties>
</file>